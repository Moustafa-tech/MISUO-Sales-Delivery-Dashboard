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https://d.docs.live.net/b48fcb72afcb3bcd/Desktop/MISUO Dashboard/Data/"/>
    </mc:Choice>
  </mc:AlternateContent>
  <xr:revisionPtr revIDLastSave="1" documentId="13_ncr:1_{A55433B8-FECD-44E1-8A80-83DD65AC4633}" xr6:coauthVersionLast="47" xr6:coauthVersionMax="47" xr10:uidLastSave="{E9078551-849A-4073-B093-399BD44A6258}"/>
  <bookViews>
    <workbookView xWindow="-120" yWindow="-120" windowWidth="25840" windowHeight="14027" activeTab="2" xr2:uid="{00000000-000D-0000-FFFF-FFFF00000000}"/>
  </bookViews>
  <sheets>
    <sheet name="البيانات" sheetId="1" r:id="rId1"/>
    <sheet name="BackEnd" sheetId="4" r:id="rId2"/>
    <sheet name="DashBoard" sheetId="8" r:id="rId3"/>
  </sheets>
  <definedNames>
    <definedName name="_xlnm._FilterDatabase" localSheetId="0" hidden="1">البيانات!$A$1:$W$88</definedName>
    <definedName name="_xlcn.WorksheetConnection_MISUOYourFullName.xlsxTable1" hidden="1">Table1[]</definedName>
    <definedName name="Slicer_المدينة">#N/A</definedName>
    <definedName name="Slicer_منصة_البيع">#N/A</definedName>
  </definedNames>
  <calcPr calcId="181029"/>
  <pivotCaches>
    <pivotCache cacheId="0" r:id="rId4"/>
    <pivotCache cacheId="1"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MISUO - Your Full Name.xlsx!Table1"/>
        </x15:modelTables>
      </x15:dataModel>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P82" i="4" l="1"/>
  <c r="Y10" i="4"/>
  <c r="K6" i="4"/>
  <c r="G6" i="4"/>
  <c r="C6"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1872F6-D999-4DCE-8AB3-417BCB0CB936}"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934C6FB-FA20-43C8-B0D8-BF59CF43206D}" name="WorksheetConnection_MISUO - Your Full Name.xlsx!Table1" type="102" refreshedVersion="7" minRefreshableVersion="5">
    <extLst>
      <ext xmlns:x15="http://schemas.microsoft.com/office/spreadsheetml/2010/11/main" uri="{DE250136-89BD-433C-8126-D09CA5730AF9}">
        <x15:connection id="Table1" autoDelete="1">
          <x15:rangePr sourceName="_xlcn.WorksheetConnection_MISUOYourFullName.xlsxTable1"/>
        </x15:connection>
      </ext>
    </extLst>
  </connection>
</connections>
</file>

<file path=xl/sharedStrings.xml><?xml version="1.0" encoding="utf-8"?>
<sst xmlns="http://schemas.openxmlformats.org/spreadsheetml/2006/main" count="1491" uniqueCount="391">
  <si>
    <t>أسم العميل</t>
  </si>
  <si>
    <t>العنوان</t>
  </si>
  <si>
    <t>المنتج</t>
  </si>
  <si>
    <t>تاريخ التسليم</t>
  </si>
  <si>
    <t>المسئول عن التسليم</t>
  </si>
  <si>
    <t>م</t>
  </si>
  <si>
    <t>رقم الموبيل</t>
  </si>
  <si>
    <t xml:space="preserve">منصة البيع </t>
  </si>
  <si>
    <t>هومزمارت</t>
  </si>
  <si>
    <t xml:space="preserve">سعر البيع </t>
  </si>
  <si>
    <t xml:space="preserve">طريقه الدفع </t>
  </si>
  <si>
    <t>ميعاد التسليم</t>
  </si>
  <si>
    <t>ميعاد الطلب</t>
  </si>
  <si>
    <t xml:space="preserve">خالد عبد القوى </t>
  </si>
  <si>
    <t>العجوزه - الجيزه</t>
  </si>
  <si>
    <t xml:space="preserve">سرير منطبق الحديد ابيض والقماش ابيض </t>
  </si>
  <si>
    <t>مسبق الدفع</t>
  </si>
  <si>
    <t>محمود</t>
  </si>
  <si>
    <t>سموحه - اسكندريه</t>
  </si>
  <si>
    <t xml:space="preserve">سرير منطبق اسود والقماش اسود </t>
  </si>
  <si>
    <t>سعيد</t>
  </si>
  <si>
    <t xml:space="preserve">سيدى عبد الرحمن - الساحل الشمالى </t>
  </si>
  <si>
    <t xml:space="preserve">سرير كيفينج مقاس 90 لون ازرق </t>
  </si>
  <si>
    <t>ساندرا</t>
  </si>
  <si>
    <t xml:space="preserve">الغردقه </t>
  </si>
  <si>
    <t xml:space="preserve">ترابيزه قهوه متحركه </t>
  </si>
  <si>
    <t xml:space="preserve">زينا </t>
  </si>
  <si>
    <t xml:space="preserve">سرير نوفال متر رمادى </t>
  </si>
  <si>
    <t xml:space="preserve">شيك هومز </t>
  </si>
  <si>
    <t xml:space="preserve">كنبه سرير رمادى </t>
  </si>
  <si>
    <t xml:space="preserve">احمد </t>
  </si>
  <si>
    <t>التجمع الخامس</t>
  </si>
  <si>
    <t xml:space="preserve">فشل التسليم </t>
  </si>
  <si>
    <t>yilmaz</t>
  </si>
  <si>
    <t xml:space="preserve">٦ اكتوبر الجيزه </t>
  </si>
  <si>
    <t xml:space="preserve">سرير فردى ابيض </t>
  </si>
  <si>
    <t xml:space="preserve">تاكى </t>
  </si>
  <si>
    <t>العباسيه</t>
  </si>
  <si>
    <t>تاكى</t>
  </si>
  <si>
    <t xml:space="preserve">ركنه </t>
  </si>
  <si>
    <t>٢ كنبه سحاره بمخدع</t>
  </si>
  <si>
    <t xml:space="preserve">العباسيه </t>
  </si>
  <si>
    <t xml:space="preserve">٢ كنبه سحاره بدون مخدع </t>
  </si>
  <si>
    <t xml:space="preserve">على رشوان </t>
  </si>
  <si>
    <t>مصر الجديده</t>
  </si>
  <si>
    <t>سرير نوفال ابيض مقاس ٨٠</t>
  </si>
  <si>
    <t xml:space="preserve">سرير كينج ابيض </t>
  </si>
  <si>
    <t>شيك هومز</t>
  </si>
  <si>
    <t xml:space="preserve">سرير كينج اسود </t>
  </si>
  <si>
    <t xml:space="preserve">فيصل نعيم </t>
  </si>
  <si>
    <t xml:space="preserve">التجمع الخامس </t>
  </si>
  <si>
    <t xml:space="preserve">٢ سرير كيفنج ١٢٠ اسود </t>
  </si>
  <si>
    <t>ellho elkafy</t>
  </si>
  <si>
    <t xml:space="preserve">مدينه نصر </t>
  </si>
  <si>
    <t xml:space="preserve">سرير كينج ابيض مقاس ٨٠ التصميم الجديد </t>
  </si>
  <si>
    <t xml:space="preserve">لينا </t>
  </si>
  <si>
    <t xml:space="preserve">المقطم </t>
  </si>
  <si>
    <t xml:space="preserve">ترابيزه قهوه علويه جديده </t>
  </si>
  <si>
    <t xml:space="preserve">٢ فوتيه فنيسيا </t>
  </si>
  <si>
    <t xml:space="preserve">احمد فخرى </t>
  </si>
  <si>
    <t>سرير فردى خشب موسكى الحديد ابيض مقاس ٨٠</t>
  </si>
  <si>
    <t>القاهره الجديده</t>
  </si>
  <si>
    <t>٤سرير فردى خشب موسكى الحديد ابيض مقاس ٨٠</t>
  </si>
  <si>
    <t>حسن حازم</t>
  </si>
  <si>
    <t>سرير اسبانى ابيض ١٢٠</t>
  </si>
  <si>
    <t xml:space="preserve">رنا </t>
  </si>
  <si>
    <t xml:space="preserve">القطاميه </t>
  </si>
  <si>
    <t xml:space="preserve">على السيد </t>
  </si>
  <si>
    <t xml:space="preserve">الشروق القاهره </t>
  </si>
  <si>
    <t xml:space="preserve">هشام بسيونى </t>
  </si>
  <si>
    <t xml:space="preserve">حدايق الاهرام </t>
  </si>
  <si>
    <t xml:space="preserve">سرير نوفال  ٩٠ اسود </t>
  </si>
  <si>
    <t xml:space="preserve">            ٢ سرير كيفنج ١٠٠ اسود </t>
  </si>
  <si>
    <t>عبير نور الدين</t>
  </si>
  <si>
    <t xml:space="preserve">١٨ شارع البحيري بولاق الدكرور الجيزه </t>
  </si>
  <si>
    <t>1229928475-01022373996</t>
  </si>
  <si>
    <t xml:space="preserve">سرير ٣ ادورا اسود مقاس ١٠٠ </t>
  </si>
  <si>
    <t>اوسكار راتن</t>
  </si>
  <si>
    <t xml:space="preserve">مخزن اوسكار في القناطر </t>
  </si>
  <si>
    <t>حساب شركه</t>
  </si>
  <si>
    <t xml:space="preserve">٢ سرير ارفيل ١٢٠ اسود </t>
  </si>
  <si>
    <t>٢ سريرفورجينا خشب موسكى ابيض مقاس ١٢٠</t>
  </si>
  <si>
    <t>الشروق</t>
  </si>
  <si>
    <t xml:space="preserve">ساره وجيه </t>
  </si>
  <si>
    <t xml:space="preserve">سرير كيفنج دورين مقاس ٨٠ ابيض </t>
  </si>
  <si>
    <t xml:space="preserve">سرير ٣ ادوار ابيض مقاس ٨٠ ابيض </t>
  </si>
  <si>
    <t xml:space="preserve">مها </t>
  </si>
  <si>
    <t xml:space="preserve">لافيستا العين السخنه </t>
  </si>
  <si>
    <t>سرير استيل ازرق مقاس ١٤٠</t>
  </si>
  <si>
    <t xml:space="preserve">اسراء ابو العنين </t>
  </si>
  <si>
    <t>سرير اسبانى اسود مقاس ١٢٠</t>
  </si>
  <si>
    <t xml:space="preserve">بسام الشربينى </t>
  </si>
  <si>
    <t xml:space="preserve">سرير كينج ١٢٠ بنفسجى </t>
  </si>
  <si>
    <t>وائل صادق</t>
  </si>
  <si>
    <t xml:space="preserve">سرير كوين مقاس ١٤٠ دهبي ورمادى </t>
  </si>
  <si>
    <t xml:space="preserve">هبه عبد الفتاح </t>
  </si>
  <si>
    <t xml:space="preserve">القاهره الجديده </t>
  </si>
  <si>
    <t xml:space="preserve">كنبه سرير ٤ حركه </t>
  </si>
  <si>
    <t xml:space="preserve">حاتم العيسوي </t>
  </si>
  <si>
    <t>سرير منطبق اسود حديد وقماش</t>
  </si>
  <si>
    <t>صفاء</t>
  </si>
  <si>
    <t>المعادى</t>
  </si>
  <si>
    <t xml:space="preserve">اسراء ابراهيم </t>
  </si>
  <si>
    <t xml:space="preserve">ملغى </t>
  </si>
  <si>
    <t xml:space="preserve">طارق كمال </t>
  </si>
  <si>
    <t xml:space="preserve">سرير ٣ ادوار اسود مقاس ٩٠ </t>
  </si>
  <si>
    <t xml:space="preserve">مصطفي غنيم </t>
  </si>
  <si>
    <t xml:space="preserve">اسيوط </t>
  </si>
  <si>
    <t xml:space="preserve">سرير كيفنج دورين مقاس ١٢٠ رمادى </t>
  </si>
  <si>
    <t xml:space="preserve">مسبق الدفع </t>
  </si>
  <si>
    <t>حسام عبدون</t>
  </si>
  <si>
    <t>الغردقه</t>
  </si>
  <si>
    <t xml:space="preserve">اياد </t>
  </si>
  <si>
    <t>ميار خورشد</t>
  </si>
  <si>
    <t xml:space="preserve">سرير منطبق اسود حديد ومعدن </t>
  </si>
  <si>
    <t xml:space="preserve">عبد الله سيد </t>
  </si>
  <si>
    <t xml:space="preserve">الشيخ زايد ٦ اكتوبر </t>
  </si>
  <si>
    <t xml:space="preserve">سرير اسبانى  ١٤٠ اسود وبيج </t>
  </si>
  <si>
    <t xml:space="preserve">كينج سونا </t>
  </si>
  <si>
    <t xml:space="preserve">تربيزه قهوه مرتفعه برف سحاب </t>
  </si>
  <si>
    <t xml:space="preserve">رامى </t>
  </si>
  <si>
    <t xml:space="preserve">سرير نوفال ١٠٠ رمادى </t>
  </si>
  <si>
    <t xml:space="preserve">احمد خالد </t>
  </si>
  <si>
    <t>الرحاب</t>
  </si>
  <si>
    <t xml:space="preserve"> ٢. سرير فورجينا ابيض مقاس ١٢٠</t>
  </si>
  <si>
    <t>ساره</t>
  </si>
  <si>
    <t xml:space="preserve">   ٢. سرير اسبانى ابيض ١٢٠</t>
  </si>
  <si>
    <t>رحاب</t>
  </si>
  <si>
    <t xml:space="preserve">احمد ايمن </t>
  </si>
  <si>
    <t>العبور</t>
  </si>
  <si>
    <t xml:space="preserve">فؤاد المنسي </t>
  </si>
  <si>
    <t xml:space="preserve">سرير نوفال مقاس ٨٠ ابيض </t>
  </si>
  <si>
    <t xml:space="preserve">ديفد بهجت </t>
  </si>
  <si>
    <t>فيصل الجيزه</t>
  </si>
  <si>
    <t>تربيزه قهوه ٢ رافع</t>
  </si>
  <si>
    <t xml:space="preserve">حسن مغرب </t>
  </si>
  <si>
    <t xml:space="preserve">سرير كيفنج ١٢٠ رمادى </t>
  </si>
  <si>
    <t>صفاء الحكيم</t>
  </si>
  <si>
    <t>العين السخنه</t>
  </si>
  <si>
    <t>سرير منطببق اسود وقماش اسود</t>
  </si>
  <si>
    <t>يوسف شناوى</t>
  </si>
  <si>
    <t xml:space="preserve">الابراهيميه . الإسكندرية </t>
  </si>
  <si>
    <t xml:space="preserve">ترابيزه قهوه علويه برف سحاب </t>
  </si>
  <si>
    <t>سرير</t>
  </si>
  <si>
    <t>منطبق</t>
  </si>
  <si>
    <t>نوفال</t>
  </si>
  <si>
    <t>فردى</t>
  </si>
  <si>
    <t>كينج</t>
  </si>
  <si>
    <t>كيفنج</t>
  </si>
  <si>
    <t>اسبانى</t>
  </si>
  <si>
    <t>ركنة</t>
  </si>
  <si>
    <t>سحارة</t>
  </si>
  <si>
    <t>ركنة بسرير</t>
  </si>
  <si>
    <t>كرسى</t>
  </si>
  <si>
    <t>4*1</t>
  </si>
  <si>
    <t>دورين</t>
  </si>
  <si>
    <t xml:space="preserve">كنبة </t>
  </si>
  <si>
    <t>ابيض</t>
  </si>
  <si>
    <t>اسود</t>
  </si>
  <si>
    <t>ارفيل</t>
  </si>
  <si>
    <t>ازرق</t>
  </si>
  <si>
    <t>ثلاثه ادوار</t>
  </si>
  <si>
    <t>رمادى</t>
  </si>
  <si>
    <t>بنفسجى</t>
  </si>
  <si>
    <t>الاسم</t>
  </si>
  <si>
    <t>المقاس</t>
  </si>
  <si>
    <t>دهبي</t>
  </si>
  <si>
    <t>فورجينا</t>
  </si>
  <si>
    <t>كورين</t>
  </si>
  <si>
    <t>اللون المعدن</t>
  </si>
  <si>
    <t>لون القماش</t>
  </si>
  <si>
    <t>رقم العملية</t>
  </si>
  <si>
    <t>رقم الطلب</t>
  </si>
  <si>
    <t>mohannad</t>
  </si>
  <si>
    <t>EL-Maadi</t>
  </si>
  <si>
    <t>Mohamed Ayman</t>
  </si>
  <si>
    <t>Madinet Badr</t>
  </si>
  <si>
    <t>2 ميكانزم</t>
  </si>
  <si>
    <t>بمكتبة</t>
  </si>
  <si>
    <t>رف سحاب</t>
  </si>
  <si>
    <t>الحالة</t>
  </si>
  <si>
    <t>فشل التسليم</t>
  </si>
  <si>
    <t>اسامه</t>
  </si>
  <si>
    <t>تم التسليم</t>
  </si>
  <si>
    <t xml:space="preserve">المخزن ابو الغيط </t>
  </si>
  <si>
    <t>اسود وبنى</t>
  </si>
  <si>
    <t>ولاء بدوى</t>
  </si>
  <si>
    <t>عبد الرحمن يسري</t>
  </si>
  <si>
    <t>اكتوبر الجيزه</t>
  </si>
  <si>
    <t>مرتجع</t>
  </si>
  <si>
    <t>الحج محمد السويس</t>
  </si>
  <si>
    <t xml:space="preserve">السويس </t>
  </si>
  <si>
    <t>السويس</t>
  </si>
  <si>
    <t>رصاصي مشجر</t>
  </si>
  <si>
    <t>بيج</t>
  </si>
  <si>
    <t>شيزلونج</t>
  </si>
  <si>
    <t xml:space="preserve">نبيتى </t>
  </si>
  <si>
    <t>عمرو الأسود</t>
  </si>
  <si>
    <t>الزمالك</t>
  </si>
  <si>
    <t>مخزن شيك هومز</t>
  </si>
  <si>
    <t xml:space="preserve">بترولى </t>
  </si>
  <si>
    <t xml:space="preserve">أكتوبر </t>
  </si>
  <si>
    <t>التجمع</t>
  </si>
  <si>
    <t>keira</t>
  </si>
  <si>
    <t xml:space="preserve">نوفال </t>
  </si>
  <si>
    <t>بينك</t>
  </si>
  <si>
    <t>tarek</t>
  </si>
  <si>
    <t>لاغى</t>
  </si>
  <si>
    <t>reem</t>
  </si>
  <si>
    <t>البطاش اسكندريه</t>
  </si>
  <si>
    <t>هشام سامى</t>
  </si>
  <si>
    <t>s03163</t>
  </si>
  <si>
    <t>41 كومبوند جولدن جستس الدور 4 شقه 4</t>
  </si>
  <si>
    <t>بلحه</t>
  </si>
  <si>
    <t>خشب بنى فاتح</t>
  </si>
  <si>
    <t>فانتستيك</t>
  </si>
  <si>
    <t>الوان</t>
  </si>
  <si>
    <t>المعرض مدينه نصر</t>
  </si>
  <si>
    <t>فاطمه محمد</t>
  </si>
  <si>
    <t>أكتوبر الجيزه</t>
  </si>
  <si>
    <t>الشيخ زايد اكتوبر</t>
  </si>
  <si>
    <t>بولا هومزمارت</t>
  </si>
  <si>
    <t>مسيو هومزمارت</t>
  </si>
  <si>
    <t xml:space="preserve">محمد شكرى </t>
  </si>
  <si>
    <t>ارينا</t>
  </si>
  <si>
    <t>بترولى</t>
  </si>
  <si>
    <t>مسبق</t>
  </si>
  <si>
    <t>so3290</t>
  </si>
  <si>
    <t>منزلى</t>
  </si>
  <si>
    <t>مدينتى</t>
  </si>
  <si>
    <t>s_6725</t>
  </si>
  <si>
    <t>حماده</t>
  </si>
  <si>
    <t>صفاء عبد الباقي</t>
  </si>
  <si>
    <t xml:space="preserve">كينج </t>
  </si>
  <si>
    <t>s_6806</t>
  </si>
  <si>
    <t xml:space="preserve">سرير </t>
  </si>
  <si>
    <t>s-6626</t>
  </si>
  <si>
    <t>المخزن</t>
  </si>
  <si>
    <t xml:space="preserve">دورين </t>
  </si>
  <si>
    <t xml:space="preserve">مرفوض </t>
  </si>
  <si>
    <t xml:space="preserve">رندا العامرى </t>
  </si>
  <si>
    <t xml:space="preserve">كيفنج </t>
  </si>
  <si>
    <t>٦ اكتوبر الجيزه</t>
  </si>
  <si>
    <t xml:space="preserve">فردى </t>
  </si>
  <si>
    <t>امريكى</t>
  </si>
  <si>
    <t>محمد حمدى</t>
  </si>
  <si>
    <t>فيسبوك</t>
  </si>
  <si>
    <t xml:space="preserve">كوين </t>
  </si>
  <si>
    <t xml:space="preserve">بافلى هانى </t>
  </si>
  <si>
    <t xml:space="preserve">شبرا </t>
  </si>
  <si>
    <t xml:space="preserve">اسبانى </t>
  </si>
  <si>
    <t>t1</t>
  </si>
  <si>
    <t>رنا ميلاد</t>
  </si>
  <si>
    <t xml:space="preserve">جليم الإسكندرية </t>
  </si>
  <si>
    <t>ترابيزه</t>
  </si>
  <si>
    <t>مكتبه</t>
  </si>
  <si>
    <t>محمد ناجى</t>
  </si>
  <si>
    <t xml:space="preserve">دوران </t>
  </si>
  <si>
    <t>ميكانزم</t>
  </si>
  <si>
    <t>ابيض في بنى غامق</t>
  </si>
  <si>
    <t>احمد عبد الستار</t>
  </si>
  <si>
    <t>المندره اسكندريه</t>
  </si>
  <si>
    <t xml:space="preserve">نور </t>
  </si>
  <si>
    <t>بنى غامق</t>
  </si>
  <si>
    <t>نور</t>
  </si>
  <si>
    <t xml:space="preserve">بنى غامق </t>
  </si>
  <si>
    <t>تامر</t>
  </si>
  <si>
    <t>٢ ميكانزم</t>
  </si>
  <si>
    <t xml:space="preserve">بيج </t>
  </si>
  <si>
    <t>هناء اسامه</t>
  </si>
  <si>
    <t>القطاميه</t>
  </si>
  <si>
    <t>s_7152</t>
  </si>
  <si>
    <t xml:space="preserve">محمد عادل </t>
  </si>
  <si>
    <t>مريم عنان</t>
  </si>
  <si>
    <t xml:space="preserve">اب تاون كايرو التجمع </t>
  </si>
  <si>
    <t xml:space="preserve">هبه عطيه </t>
  </si>
  <si>
    <t>دوران</t>
  </si>
  <si>
    <t>حمدى ذكرى</t>
  </si>
  <si>
    <t>روك ١٠</t>
  </si>
  <si>
    <t>نوع المنتج</t>
  </si>
  <si>
    <t>طريقة الصنع</t>
  </si>
  <si>
    <t>فينيسيا</t>
  </si>
  <si>
    <t>100/140</t>
  </si>
  <si>
    <t xml:space="preserve">شركه شحن </t>
  </si>
  <si>
    <t>رفض الاستلام</t>
  </si>
  <si>
    <t xml:space="preserve">محمود على </t>
  </si>
  <si>
    <t xml:space="preserve">الحج سيد </t>
  </si>
  <si>
    <t xml:space="preserve">م محمد </t>
  </si>
  <si>
    <t>تم التصنيع</t>
  </si>
  <si>
    <t>ms_1006</t>
  </si>
  <si>
    <t>ms_1005</t>
  </si>
  <si>
    <t>MS_1001</t>
  </si>
  <si>
    <t>MST_1001</t>
  </si>
  <si>
    <t>MST_1002</t>
  </si>
  <si>
    <t>MST_1003</t>
  </si>
  <si>
    <t>MST_1004</t>
  </si>
  <si>
    <t>MST_1006</t>
  </si>
  <si>
    <t>MST_1007</t>
  </si>
  <si>
    <t>MSH-1001</t>
  </si>
  <si>
    <t>MSH-1002</t>
  </si>
  <si>
    <t>MSH-1003</t>
  </si>
  <si>
    <t>MF_1001</t>
  </si>
  <si>
    <t>MF_1002</t>
  </si>
  <si>
    <t>MHM-1001</t>
  </si>
  <si>
    <t>MHM-1002</t>
  </si>
  <si>
    <t>MH_1001</t>
  </si>
  <si>
    <t>MH_1002</t>
  </si>
  <si>
    <t>MH_1003</t>
  </si>
  <si>
    <t>MH_1004</t>
  </si>
  <si>
    <t>MH_1005</t>
  </si>
  <si>
    <t>MH_1006</t>
  </si>
  <si>
    <t>MH_1007</t>
  </si>
  <si>
    <t>Msu_1001</t>
  </si>
  <si>
    <t>Msu_1002</t>
  </si>
  <si>
    <t>Msu_1003</t>
  </si>
  <si>
    <t>Msu_1004</t>
  </si>
  <si>
    <t>MO_1001</t>
  </si>
  <si>
    <t>MO_1002</t>
  </si>
  <si>
    <t>MO_1003</t>
  </si>
  <si>
    <t>MO_1004</t>
  </si>
  <si>
    <t>MO_1005</t>
  </si>
  <si>
    <t>MO_1006</t>
  </si>
  <si>
    <t>Total Sales</t>
  </si>
  <si>
    <t xml:space="preserve">Sum of سعر البيع </t>
  </si>
  <si>
    <t>Total Orders</t>
  </si>
  <si>
    <t>Count of رقم العملية</t>
  </si>
  <si>
    <t>Average Selling Price</t>
  </si>
  <si>
    <t xml:space="preserve">Average of سعر البيع </t>
  </si>
  <si>
    <t>Sales by Platform</t>
  </si>
  <si>
    <t>Row Labels</t>
  </si>
  <si>
    <t>Grand Total</t>
  </si>
  <si>
    <t>اوسكار ريتن</t>
  </si>
  <si>
    <t>كيمت</t>
  </si>
  <si>
    <t>Best  Seller Product</t>
  </si>
  <si>
    <t>Best Color sold</t>
  </si>
  <si>
    <t>(blank)</t>
  </si>
  <si>
    <t>Count of لون القماش</t>
  </si>
  <si>
    <t>Count of اللون المعدن</t>
  </si>
  <si>
    <t>On Time</t>
  </si>
  <si>
    <t>Early</t>
  </si>
  <si>
    <t>Late</t>
  </si>
  <si>
    <t>Very Late</t>
  </si>
  <si>
    <t>حساب وقت وصول الطلب</t>
  </si>
  <si>
    <t>Count of حساب وقت وصول الطلب</t>
  </si>
  <si>
    <t>Count of الحالة</t>
  </si>
  <si>
    <t>On-time Delivery Rate</t>
  </si>
  <si>
    <t>Delivery Status Breakdown</t>
  </si>
  <si>
    <t>الساحل الشمالي</t>
  </si>
  <si>
    <t>المدينة</t>
  </si>
  <si>
    <t>الجيزة</t>
  </si>
  <si>
    <t>الأسكندرية</t>
  </si>
  <si>
    <t>الغردقة</t>
  </si>
  <si>
    <t>القاهرة</t>
  </si>
  <si>
    <t>القليوبية</t>
  </si>
  <si>
    <t>أسيوط</t>
  </si>
  <si>
    <t>Orders by Area</t>
  </si>
  <si>
    <t>احمد</t>
  </si>
  <si>
    <t>احمد ايمن</t>
  </si>
  <si>
    <t>احمد خالد</t>
  </si>
  <si>
    <t>احمد فخرى</t>
  </si>
  <si>
    <t>اسراء ابراهيم</t>
  </si>
  <si>
    <t>اسراء ابو العنين</t>
  </si>
  <si>
    <t>اياد</t>
  </si>
  <si>
    <t>بافلى هانى</t>
  </si>
  <si>
    <t>بسام الشربينى</t>
  </si>
  <si>
    <t>حاتم العيسوي</t>
  </si>
  <si>
    <t>حسن مغرب</t>
  </si>
  <si>
    <t>خالد عبد القوى</t>
  </si>
  <si>
    <t>ديفد بهجت</t>
  </si>
  <si>
    <t>رامى</t>
  </si>
  <si>
    <t>رنا</t>
  </si>
  <si>
    <t>رندا العامرى</t>
  </si>
  <si>
    <t>زينا</t>
  </si>
  <si>
    <t>ساره وجيه</t>
  </si>
  <si>
    <t>طارق كمال</t>
  </si>
  <si>
    <t>عبد الله سيد</t>
  </si>
  <si>
    <t>على السيد</t>
  </si>
  <si>
    <t>على رشوان</t>
  </si>
  <si>
    <t>فؤاد المنسي</t>
  </si>
  <si>
    <t>فيصل نعيم</t>
  </si>
  <si>
    <t>كينج سونا</t>
  </si>
  <si>
    <t>لينا</t>
  </si>
  <si>
    <t>محمد شكرى</t>
  </si>
  <si>
    <t>محمد عادل</t>
  </si>
  <si>
    <t>مصطفي غنيم</t>
  </si>
  <si>
    <t>مها</t>
  </si>
  <si>
    <t>هبه عبد الفتاح</t>
  </si>
  <si>
    <t>هبه عطيه</t>
  </si>
  <si>
    <t>هشام بسيونى</t>
  </si>
  <si>
    <t>Distinct Count of أسم العميل</t>
  </si>
  <si>
    <t>Individuals &amp; Companies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</si>
</sst>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dd/mm/yyyy"/>
    <numFmt numFmtId="165" formatCode="_(* #,##0_);_(* \(#,##0\);_(* &quot;-&quot;??_);_(@_)"/>
  </numFmts>
  <fonts count="6" x14ac:knownFonts="1">
    <font>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
      <sz val="8"/>
      <name val="Calibri"/>
      <family val="2"/>
      <scheme val="minor"/>
    </font>
    <font>
      <b/>
      <sz val="16"/>
      <color theme="0"/>
      <name val="Calibri"/>
      <family val="2"/>
      <scheme val="minor"/>
    </font>
  </fonts>
  <fills count="5">
    <fill>
      <patternFill patternType="none"/>
    </fill>
    <fill>
      <patternFill patternType="gray125"/>
    </fill>
    <fill>
      <patternFill patternType="solid">
        <fgColor theme="1" tint="0.34998626667073579"/>
        <bgColor indexed="64"/>
      </patternFill>
    </fill>
    <fill>
      <patternFill patternType="solid">
        <fgColor theme="0" tint="-0.34998626667073579"/>
        <bgColor indexed="64"/>
      </patternFill>
    </fill>
    <fill>
      <patternFill patternType="solid">
        <fgColor rgb="FF192E59"/>
        <bgColor indexed="64"/>
      </patternFill>
    </fill>
  </fills>
  <borders count="3">
    <border>
      <left/>
      <right/>
      <top/>
      <bottom/>
      <diagonal/>
    </border>
    <border>
      <left/>
      <right style="thin">
        <color indexed="64"/>
      </right>
      <top/>
      <bottom/>
      <diagonal/>
    </border>
    <border>
      <left style="thin">
        <color indexed="64"/>
      </left>
      <right style="thin">
        <color indexed="64"/>
      </right>
      <top/>
      <bottom/>
      <diagonal/>
    </border>
  </borders>
  <cellStyleXfs count="2">
    <xf numFmtId="0" fontId="0" fillId="0" borderId="0"/>
    <xf numFmtId="43" fontId="2" fillId="0" borderId="0" applyFont="0" applyFill="0" applyBorder="0" applyAlignment="0" applyProtection="0"/>
  </cellStyleXfs>
  <cellXfs count="33">
    <xf numFmtId="0" fontId="0" fillId="0" borderId="0" xfId="0"/>
    <xf numFmtId="0" fontId="0" fillId="0" borderId="0" xfId="0" applyAlignment="1">
      <alignment horizontal="right" vertical="center"/>
    </xf>
    <xf numFmtId="0" fontId="0" fillId="0" borderId="0" xfId="0" applyAlignment="1">
      <alignment horizontal="center" vertical="center"/>
    </xf>
    <xf numFmtId="0" fontId="0" fillId="0" borderId="0" xfId="0" applyBorder="1"/>
    <xf numFmtId="0" fontId="0" fillId="0" borderId="0" xfId="0" applyBorder="1" applyAlignment="1">
      <alignment horizontal="right" vertical="center"/>
    </xf>
    <xf numFmtId="0" fontId="1" fillId="0" borderId="1" xfId="0" applyFont="1" applyFill="1" applyBorder="1" applyAlignment="1">
      <alignment horizontal="center" vertical="center"/>
    </xf>
    <xf numFmtId="0" fontId="1" fillId="0" borderId="2" xfId="0" applyFont="1" applyFill="1" applyBorder="1" applyAlignment="1">
      <alignment horizontal="center" vertical="center"/>
    </xf>
    <xf numFmtId="2" fontId="1" fillId="0" borderId="2" xfId="0" applyNumberFormat="1" applyFont="1" applyFill="1" applyBorder="1" applyAlignment="1">
      <alignment horizontal="center" vertical="center"/>
    </xf>
    <xf numFmtId="0" fontId="0" fillId="0" borderId="2" xfId="0" applyFill="1" applyBorder="1" applyAlignment="1">
      <alignment horizontal="center" vertical="center"/>
    </xf>
    <xf numFmtId="0" fontId="3" fillId="0" borderId="0" xfId="0" applyFont="1" applyFill="1" applyBorder="1" applyAlignment="1">
      <alignment horizontal="center" vertical="center"/>
    </xf>
    <xf numFmtId="2" fontId="3" fillId="0" borderId="0" xfId="0" applyNumberFormat="1" applyFont="1" applyFill="1" applyBorder="1" applyAlignment="1">
      <alignment horizontal="center" vertical="center"/>
    </xf>
    <xf numFmtId="14" fontId="3" fillId="0" borderId="0" xfId="0" applyNumberFormat="1" applyFont="1" applyFill="1" applyBorder="1" applyAlignment="1">
      <alignment horizontal="center" vertical="center"/>
    </xf>
    <xf numFmtId="0" fontId="3" fillId="0" borderId="0" xfId="0" applyFont="1" applyBorder="1" applyAlignment="1">
      <alignment horizontal="center" vertical="center"/>
    </xf>
    <xf numFmtId="14" fontId="0" fillId="0" borderId="0" xfId="0" applyNumberFormat="1" applyBorder="1" applyAlignment="1">
      <alignment horizontal="center" vertical="center"/>
    </xf>
    <xf numFmtId="164" fontId="3" fillId="0" borderId="0" xfId="0" applyNumberFormat="1" applyFont="1" applyFill="1" applyBorder="1" applyAlignment="1">
      <alignment horizontal="center" vertical="center"/>
    </xf>
    <xf numFmtId="1" fontId="1" fillId="0" borderId="2" xfId="0" applyNumberFormat="1" applyFont="1" applyFill="1" applyBorder="1" applyAlignment="1">
      <alignment horizontal="center" vertical="center"/>
    </xf>
    <xf numFmtId="1" fontId="3" fillId="0" borderId="0" xfId="0" applyNumberFormat="1" applyFont="1" applyFill="1" applyBorder="1" applyAlignment="1">
      <alignment horizontal="center" vertical="center"/>
    </xf>
    <xf numFmtId="0" fontId="0" fillId="0" borderId="0" xfId="0" applyNumberFormat="1"/>
    <xf numFmtId="1" fontId="0" fillId="0" borderId="0" xfId="0" applyNumberFormat="1"/>
    <xf numFmtId="0" fontId="0" fillId="3" borderId="0" xfId="0" applyFill="1"/>
    <xf numFmtId="0" fontId="0" fillId="0" borderId="0" xfId="0" pivotButton="1"/>
    <xf numFmtId="1" fontId="0" fillId="0" borderId="0" xfId="0" applyNumberFormat="1" applyBorder="1"/>
    <xf numFmtId="0" fontId="5" fillId="0" borderId="0" xfId="0" applyFont="1" applyFill="1" applyAlignment="1">
      <alignment horizontal="center" vertical="center"/>
    </xf>
    <xf numFmtId="0" fontId="0" fillId="0" borderId="0" xfId="0" applyAlignment="1">
      <alignment horizontal="left"/>
    </xf>
    <xf numFmtId="165" fontId="0" fillId="0" borderId="0" xfId="0" applyNumberFormat="1"/>
    <xf numFmtId="49" fontId="3" fillId="0" borderId="0" xfId="0" applyNumberFormat="1" applyFont="1" applyFill="1" applyBorder="1" applyAlignment="1">
      <alignment horizontal="center" vertical="center"/>
    </xf>
    <xf numFmtId="49" fontId="1" fillId="0" borderId="2" xfId="0" applyNumberFormat="1" applyFont="1" applyFill="1" applyBorder="1" applyAlignment="1">
      <alignment horizontal="center" vertical="center"/>
    </xf>
    <xf numFmtId="10" fontId="0" fillId="0" borderId="0" xfId="0" applyNumberFormat="1"/>
    <xf numFmtId="0" fontId="3" fillId="0" borderId="0" xfId="0" applyFont="1" applyFill="1" applyAlignment="1">
      <alignment horizontal="center" vertical="center"/>
    </xf>
    <xf numFmtId="0" fontId="0" fillId="4" borderId="0" xfId="0" applyFill="1"/>
    <xf numFmtId="165" fontId="0" fillId="0" borderId="0" xfId="1" applyNumberFormat="1" applyFont="1"/>
    <xf numFmtId="0" fontId="3" fillId="4" borderId="0" xfId="0" applyFont="1" applyFill="1"/>
    <xf numFmtId="0" fontId="5" fillId="2" borderId="0" xfId="0" applyFont="1" applyFill="1" applyAlignment="1">
      <alignment horizontal="center" vertical="center"/>
    </xf>
  </cellXfs>
  <cellStyles count="2">
    <cellStyle name="Comma" xfId="1" builtinId="3"/>
    <cellStyle name="Normal" xfId="0" builtinId="0"/>
  </cellStyles>
  <dxfs count="62">
    <dxf>
      <numFmt numFmtId="165" formatCode="_(* #,##0_);_(* \(#,##0\);_(* &quot;-&quot;??_);_(@_)"/>
    </dxf>
    <dxf>
      <numFmt numFmtId="1" formatCode="0"/>
    </dxf>
    <dxf>
      <numFmt numFmtId="165" formatCode="_(* #,##0_);_(* \(#,##0\);_(* &quot;-&quot;??_);_(@_)"/>
    </dxf>
    <dxf>
      <numFmt numFmtId="165" formatCode="_(* #,##0_);_(* \(#,##0\);_(* &quot;-&quot;??_);_(@_)"/>
    </dxf>
    <dxf>
      <numFmt numFmtId="1" formatCode="0"/>
    </dxf>
    <dxf>
      <numFmt numFmtId="165" formatCode="_(* #,##0_);_(* \(#,##0\);_(* &quot;-&quot;??_);_(@_)"/>
    </dxf>
    <dxf>
      <numFmt numFmtId="14" formatCode="0.00%"/>
    </dxf>
    <dxf>
      <numFmt numFmtId="165" formatCode="_(* #,##0_);_(* \(#,##0\);_(* &quot;-&quot;??_);_(@_)"/>
    </dxf>
    <dxf>
      <numFmt numFmtId="1" formatCode="0"/>
    </dxf>
    <dxf>
      <numFmt numFmtId="14" formatCode="0.00%"/>
    </dxf>
    <dxf>
      <numFmt numFmtId="165" formatCode="_(* #,##0_);_(* \(#,##0\);_(* &quot;-&quot;??_);_(@_)"/>
    </dxf>
    <dxf>
      <numFmt numFmtId="165" formatCode="_(* #,##0_);_(* \(#,##0\);_(* &quot;-&quot;??_);_(@_)"/>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9" formatCode="m/d/yyyy"/>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9" formatCode="m/d/yyyy"/>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numFmt numFmtId="19"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9" formatCode="m/d/yyyy"/>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numFmt numFmtId="19"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9" formatCode="m/d/yyyy"/>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numFmt numFmtId="19"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border outline="0">
        <left style="thin">
          <color indexed="64"/>
        </left>
        <top style="thin">
          <color indexed="64"/>
        </top>
      </border>
    </dxf>
    <dxf>
      <font>
        <b val="0"/>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2F2F2"/>
        </patternFill>
      </fill>
    </dxf>
  </dxfs>
  <tableStyles count="2" defaultTableStyle="TableStyleMedium2" defaultPivotStyle="PivotStyleLight16">
    <tableStyle name="Invisible" pivot="0" table="0" count="0" xr9:uid="{AA73528B-8D85-432A-9172-AA70B5E8C669}"/>
    <tableStyle name="Slicer Style 1" pivot="0" table="0" count="3" xr9:uid="{195D0F80-E350-4CC2-84D6-4ED5C9FCF357}">
      <tableStyleElement type="wholeTable" dxfId="61"/>
    </tableStyle>
  </tableStyles>
  <colors>
    <mruColors>
      <color rgb="FFA60303"/>
      <color rgb="FFF2F2F2"/>
      <color rgb="FF182540"/>
      <color rgb="FF1A294D"/>
      <color rgb="FF7C9BDA"/>
      <color rgb="FF192E59"/>
      <color rgb="FF3C6BC8"/>
      <color rgb="FF350101"/>
    </mruColors>
  </colors>
  <extLst>
    <ext xmlns:x14="http://schemas.microsoft.com/office/spreadsheetml/2009/9/main" uri="{46F421CA-312F-682f-3DD2-61675219B42D}">
      <x14:dxfs count="2">
        <dxf>
          <font>
            <color theme="0" tint="-0.14996795556505021"/>
          </font>
          <fill>
            <patternFill>
              <bgColor rgb="FF182540"/>
            </patternFill>
          </fill>
          <border diagonalUp="0" diagonalDown="0">
            <left/>
            <right/>
            <top/>
            <bottom/>
            <vertical/>
            <horizontal/>
          </border>
        </dxf>
        <dxf>
          <fill>
            <patternFill>
              <bgColor rgb="FF7C9BDA"/>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[MISUO.xlsm]BackEnd!PivotTable14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Delivery Status Breakdown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BackEnd!$AC$22</c:f>
              <c:strCache>
                <c:ptCount val="1"/>
                <c:pt idx="0">
                  <c:v>Total</c:v>
                </c:pt>
              </c:strCache>
            </c:strRef>
          </c:tx>
          <c:spPr>
            <a:ln w="28575" cap="rnd">
              <a:solidFill>
                <a:schemeClr val="accent1"/>
              </a:solidFill>
              <a:round/>
            </a:ln>
            <a:effectLst/>
          </c:spPr>
          <c:marker>
            <c:symbol val="none"/>
          </c:marker>
          <c:dPt>
            <c:idx val="5"/>
            <c:marker>
              <c:symbol val="none"/>
            </c:marker>
            <c:bubble3D val="0"/>
            <c:extLst>
              <c:ext xmlns:c16="http://schemas.microsoft.com/office/drawing/2014/chart" uri="{C3380CC4-5D6E-409C-BE32-E72D297353CC}">
                <c16:uniqueId val="{00000002-6E26-422F-91D6-098206E806F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BackEnd!$AB$23:$AB$30</c:f>
              <c:strCache>
                <c:ptCount val="7"/>
                <c:pt idx="0">
                  <c:v>(blank)</c:v>
                </c:pt>
                <c:pt idx="1">
                  <c:v>تم التصنيع</c:v>
                </c:pt>
                <c:pt idx="2">
                  <c:v>مرفوض </c:v>
                </c:pt>
                <c:pt idx="3">
                  <c:v>مرتجع</c:v>
                </c:pt>
                <c:pt idx="4">
                  <c:v>فشل التسليم</c:v>
                </c:pt>
                <c:pt idx="5">
                  <c:v>لاغى</c:v>
                </c:pt>
                <c:pt idx="6">
                  <c:v>تم التسليم</c:v>
                </c:pt>
              </c:strCache>
            </c:strRef>
          </c:cat>
          <c:val>
            <c:numRef>
              <c:f>BackEnd!$AC$23:$AC$30</c:f>
              <c:numCache>
                <c:formatCode>0.00%</c:formatCode>
                <c:ptCount val="7"/>
                <c:pt idx="0">
                  <c:v>0</c:v>
                </c:pt>
                <c:pt idx="1">
                  <c:v>9.2592592592592587E-3</c:v>
                </c:pt>
                <c:pt idx="2">
                  <c:v>9.2592592592592587E-3</c:v>
                </c:pt>
                <c:pt idx="3">
                  <c:v>9.2592592592592587E-3</c:v>
                </c:pt>
                <c:pt idx="4">
                  <c:v>2.7777777777777776E-2</c:v>
                </c:pt>
                <c:pt idx="5">
                  <c:v>0.12962962962962962</c:v>
                </c:pt>
                <c:pt idx="6">
                  <c:v>0.81481481481481477</c:v>
                </c:pt>
              </c:numCache>
            </c:numRef>
          </c:val>
          <c:smooth val="0"/>
          <c:extLst>
            <c:ext xmlns:c16="http://schemas.microsoft.com/office/drawing/2014/chart" uri="{C3380CC4-5D6E-409C-BE32-E72D297353CC}">
              <c16:uniqueId val="{00000000-6E26-422F-91D6-098206E806F6}"/>
            </c:ext>
          </c:extLst>
        </c:ser>
        <c:dLbls>
          <c:dLblPos val="t"/>
          <c:showLegendKey val="0"/>
          <c:showVal val="1"/>
          <c:showCatName val="0"/>
          <c:showSerName val="0"/>
          <c:showPercent val="0"/>
          <c:showBubbleSize val="0"/>
        </c:dLbls>
        <c:smooth val="0"/>
        <c:axId val="643661320"/>
        <c:axId val="643663288"/>
      </c:lineChart>
      <c:catAx>
        <c:axId val="643661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663288"/>
        <c:crosses val="autoZero"/>
        <c:auto val="1"/>
        <c:lblAlgn val="ctr"/>
        <c:lblOffset val="100"/>
        <c:noMultiLvlLbl val="0"/>
      </c:catAx>
      <c:valAx>
        <c:axId val="64366328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643661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[MISUO.xlsm]BackEnd!PivotTable4</c:name>
    <c:fmtId val="1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ar-EG" sz="2000" b="1">
                <a:solidFill>
                  <a:srgbClr val="192E59"/>
                </a:solidFill>
              </a:rPr>
              <a:t>نسبة المبيعات لكل منصة</a:t>
            </a:r>
            <a:endParaRPr lang="en-US" sz="2000" b="1">
              <a:solidFill>
                <a:srgbClr val="192E59"/>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A6030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A6030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A6030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8254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BackEnd!$O$5</c:f>
              <c:strCache>
                <c:ptCount val="1"/>
                <c:pt idx="0">
                  <c:v>Total</c:v>
                </c:pt>
              </c:strCache>
            </c:strRef>
          </c:tx>
          <c:spPr>
            <a:solidFill>
              <a:srgbClr val="A6030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8254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BackEnd!$N$6:$N$15</c:f>
              <c:strCache>
                <c:ptCount val="9"/>
                <c:pt idx="0">
                  <c:v>كيمت</c:v>
                </c:pt>
                <c:pt idx="1">
                  <c:v>منزلى</c:v>
                </c:pt>
                <c:pt idx="2">
                  <c:v>مسيو هومزمارت</c:v>
                </c:pt>
                <c:pt idx="3">
                  <c:v>السويس</c:v>
                </c:pt>
                <c:pt idx="4">
                  <c:v>فيسبوك</c:v>
                </c:pt>
                <c:pt idx="5">
                  <c:v>اوسكار ريتن</c:v>
                </c:pt>
                <c:pt idx="6">
                  <c:v>تاكى</c:v>
                </c:pt>
                <c:pt idx="7">
                  <c:v>شيك هومز</c:v>
                </c:pt>
                <c:pt idx="8">
                  <c:v>هومزمارت</c:v>
                </c:pt>
              </c:strCache>
            </c:strRef>
          </c:cat>
          <c:val>
            <c:numRef>
              <c:f>BackEnd!$O$6:$O$15</c:f>
              <c:numCache>
                <c:formatCode>_(* #,##0_);_(* \(#,##0\);_(* "-"??_);_(@_)</c:formatCode>
                <c:ptCount val="9"/>
                <c:pt idx="0">
                  <c:v>7396</c:v>
                </c:pt>
                <c:pt idx="1">
                  <c:v>9655</c:v>
                </c:pt>
                <c:pt idx="2">
                  <c:v>9800</c:v>
                </c:pt>
                <c:pt idx="3">
                  <c:v>23144.905440000002</c:v>
                </c:pt>
                <c:pt idx="4">
                  <c:v>27150</c:v>
                </c:pt>
                <c:pt idx="5">
                  <c:v>54511.91</c:v>
                </c:pt>
                <c:pt idx="6">
                  <c:v>70650</c:v>
                </c:pt>
                <c:pt idx="7">
                  <c:v>181562.5</c:v>
                </c:pt>
                <c:pt idx="8">
                  <c:v>771437</c:v>
                </c:pt>
              </c:numCache>
            </c:numRef>
          </c:val>
          <c:extLst>
            <c:ext xmlns:c16="http://schemas.microsoft.com/office/drawing/2014/chart" uri="{C3380CC4-5D6E-409C-BE32-E72D297353CC}">
              <c16:uniqueId val="{00000000-E45C-4D75-B071-E13B290AF550}"/>
            </c:ext>
          </c:extLst>
        </c:ser>
        <c:dLbls>
          <c:dLblPos val="outEnd"/>
          <c:showLegendKey val="0"/>
          <c:showVal val="1"/>
          <c:showCatName val="0"/>
          <c:showSerName val="0"/>
          <c:showPercent val="0"/>
          <c:showBubbleSize val="0"/>
        </c:dLbls>
        <c:gapWidth val="219"/>
        <c:overlap val="-27"/>
        <c:axId val="327608472"/>
        <c:axId val="327607160"/>
      </c:barChart>
      <c:catAx>
        <c:axId val="327608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82540"/>
                </a:solidFill>
                <a:latin typeface="+mn-lt"/>
                <a:ea typeface="+mn-ea"/>
                <a:cs typeface="+mn-cs"/>
              </a:defRPr>
            </a:pPr>
            <a:endParaRPr lang="en-US"/>
          </a:p>
        </c:txPr>
        <c:crossAx val="327607160"/>
        <c:crosses val="autoZero"/>
        <c:auto val="1"/>
        <c:lblAlgn val="ctr"/>
        <c:lblOffset val="100"/>
        <c:noMultiLvlLbl val="0"/>
      </c:catAx>
      <c:valAx>
        <c:axId val="327607160"/>
        <c:scaling>
          <c:orientation val="minMax"/>
        </c:scaling>
        <c:delete val="1"/>
        <c:axPos val="l"/>
        <c:numFmt formatCode="_(* #,##0_);_(* \(#,##0\);_(* &quot;-&quot;??_);_(@_)" sourceLinked="1"/>
        <c:majorTickMark val="none"/>
        <c:minorTickMark val="none"/>
        <c:tickLblPos val="nextTo"/>
        <c:crossAx val="327608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[MISUO.xlsm]BackEnd!PivotTable6</c:name>
    <c:fmtId val="8"/>
  </c:pivotSource>
  <c:chart>
    <c:title>
      <c:tx>
        <c:rich>
          <a:bodyPr rot="0" spcFirstLastPara="1" vertOverflow="ellipsis" vert="horz" wrap="square" anchor="ctr" anchorCtr="1"/>
          <a:lstStyle/>
          <a:p>
            <a:pPr algn="ctr" rtl="0">
              <a:defRPr lang="en-US" sz="2000" b="1" i="0" u="none" strike="noStrike" kern="1200" spc="0" baseline="0">
                <a:solidFill>
                  <a:srgbClr val="192E59"/>
                </a:solidFill>
                <a:latin typeface="+mn-lt"/>
                <a:ea typeface="+mn-ea"/>
                <a:cs typeface="+mn-cs"/>
              </a:defRPr>
            </a:pPr>
            <a:r>
              <a:rPr lang="ar-EG" sz="2000" b="1" i="0" u="none" strike="noStrike" kern="1200" spc="0" baseline="0">
                <a:solidFill>
                  <a:srgbClr val="192E59"/>
                </a:solidFill>
                <a:latin typeface="+mn-lt"/>
                <a:ea typeface="+mn-ea"/>
                <a:cs typeface="+mn-cs"/>
              </a:rPr>
              <a:t>أفضل المنتجات مبيعاً</a:t>
            </a:r>
            <a:endParaRPr lang="en-US" sz="2000" b="1" i="0" u="none" strike="noStrike" kern="1200" spc="0" baseline="0">
              <a:solidFill>
                <a:srgbClr val="192E59"/>
              </a:solidFill>
              <a:latin typeface="+mn-lt"/>
              <a:ea typeface="+mn-ea"/>
              <a:cs typeface="+mn-cs"/>
            </a:endParaRP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rgbClr val="192E59"/>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8.9777777777777776E-2"/>
              <c:y val="-0.15042833187518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layout>
            <c:manualLayout>
              <c:x val="-8.9777777777777776E-2"/>
              <c:y val="-0.15042833187518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A6030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8254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A60303"/>
            </a:solidFill>
            <a:round/>
          </a:ln>
          <a:effectLst/>
        </c:spPr>
        <c:marker>
          <c:symbol val="none"/>
        </c:marker>
        <c:dLbl>
          <c:idx val="0"/>
          <c:layout>
            <c:manualLayout>
              <c:x val="-8.9777777777777776E-2"/>
              <c:y val="-0.1504283318751822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8254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A60303"/>
            </a:solidFill>
            <a:round/>
          </a:ln>
          <a:effectLst/>
        </c:spPr>
        <c:marker>
          <c:symbol val="none"/>
        </c:marker>
      </c:pivotFmt>
    </c:pivotFmts>
    <c:plotArea>
      <c:layout/>
      <c:lineChart>
        <c:grouping val="standard"/>
        <c:varyColors val="0"/>
        <c:ser>
          <c:idx val="0"/>
          <c:order val="0"/>
          <c:tx>
            <c:strRef>
              <c:f>BackEnd!$T$5</c:f>
              <c:strCache>
                <c:ptCount val="1"/>
                <c:pt idx="0">
                  <c:v>Total</c:v>
                </c:pt>
              </c:strCache>
            </c:strRef>
          </c:tx>
          <c:spPr>
            <a:ln w="28575" cap="rnd">
              <a:solidFill>
                <a:srgbClr val="A60303"/>
              </a:solidFill>
              <a:round/>
            </a:ln>
            <a:effectLst/>
          </c:spPr>
          <c:marker>
            <c:symbol val="none"/>
          </c:marker>
          <c:dPt>
            <c:idx val="5"/>
            <c:marker>
              <c:symbol val="none"/>
            </c:marker>
            <c:bubble3D val="0"/>
            <c:spPr>
              <a:ln w="28575" cap="rnd">
                <a:solidFill>
                  <a:srgbClr val="A60303"/>
                </a:solidFill>
                <a:round/>
              </a:ln>
              <a:effectLst/>
            </c:spPr>
            <c:extLst>
              <c:ext xmlns:c16="http://schemas.microsoft.com/office/drawing/2014/chart" uri="{C3380CC4-5D6E-409C-BE32-E72D297353CC}">
                <c16:uniqueId val="{00000001-3E9F-4408-AEBA-08B6244D97B9}"/>
              </c:ext>
            </c:extLst>
          </c:dPt>
          <c:dPt>
            <c:idx val="6"/>
            <c:marker>
              <c:symbol val="none"/>
            </c:marker>
            <c:bubble3D val="0"/>
            <c:spPr>
              <a:ln w="28575" cap="rnd">
                <a:solidFill>
                  <a:srgbClr val="A60303"/>
                </a:solidFill>
                <a:round/>
              </a:ln>
              <a:effectLst/>
            </c:spPr>
            <c:extLst>
              <c:ext xmlns:c16="http://schemas.microsoft.com/office/drawing/2014/chart" uri="{C3380CC4-5D6E-409C-BE32-E72D297353CC}">
                <c16:uniqueId val="{00000004-3E9F-4408-AEBA-08B6244D97B9}"/>
              </c:ext>
            </c:extLst>
          </c:dPt>
          <c:dLbls>
            <c:dLbl>
              <c:idx val="5"/>
              <c:layout>
                <c:manualLayout>
                  <c:x val="-8.9777777777777776E-2"/>
                  <c:y val="-0.1504283318751822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9F-4408-AEBA-08B6244D97B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8254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BackEnd!$S$6:$S$13</c:f>
              <c:strCache>
                <c:ptCount val="7"/>
                <c:pt idx="0">
                  <c:v>شيزلونج</c:v>
                </c:pt>
                <c:pt idx="1">
                  <c:v>كرسى</c:v>
                </c:pt>
                <c:pt idx="2">
                  <c:v>ركنة</c:v>
                </c:pt>
                <c:pt idx="3">
                  <c:v>سرير </c:v>
                </c:pt>
                <c:pt idx="4">
                  <c:v>ترابيزه</c:v>
                </c:pt>
                <c:pt idx="5">
                  <c:v>كنبة </c:v>
                </c:pt>
                <c:pt idx="6">
                  <c:v>سرير</c:v>
                </c:pt>
              </c:strCache>
            </c:strRef>
          </c:cat>
          <c:val>
            <c:numRef>
              <c:f>BackEnd!$T$6:$T$13</c:f>
              <c:numCache>
                <c:formatCode>_(* #,##0_);_(* \(#,##0\);_(* "-"??_);_(@_)</c:formatCode>
                <c:ptCount val="7"/>
                <c:pt idx="1">
                  <c:v>9300</c:v>
                </c:pt>
                <c:pt idx="2">
                  <c:v>22000</c:v>
                </c:pt>
                <c:pt idx="3">
                  <c:v>42820</c:v>
                </c:pt>
                <c:pt idx="4">
                  <c:v>150806</c:v>
                </c:pt>
                <c:pt idx="5">
                  <c:v>251234</c:v>
                </c:pt>
                <c:pt idx="6">
                  <c:v>679147.31544000003</c:v>
                </c:pt>
              </c:numCache>
            </c:numRef>
          </c:val>
          <c:smooth val="0"/>
          <c:extLst>
            <c:ext xmlns:c16="http://schemas.microsoft.com/office/drawing/2014/chart" uri="{C3380CC4-5D6E-409C-BE32-E72D297353CC}">
              <c16:uniqueId val="{00000002-3E9F-4408-AEBA-08B6244D97B9}"/>
            </c:ext>
          </c:extLst>
        </c:ser>
        <c:dLbls>
          <c:dLblPos val="t"/>
          <c:showLegendKey val="0"/>
          <c:showVal val="1"/>
          <c:showCatName val="0"/>
          <c:showSerName val="0"/>
          <c:showPercent val="0"/>
          <c:showBubbleSize val="0"/>
        </c:dLbls>
        <c:smooth val="0"/>
        <c:axId val="649456928"/>
        <c:axId val="649457912"/>
      </c:lineChart>
      <c:catAx>
        <c:axId val="64945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82540"/>
                </a:solidFill>
                <a:latin typeface="+mn-lt"/>
                <a:ea typeface="+mn-ea"/>
                <a:cs typeface="+mn-cs"/>
              </a:defRPr>
            </a:pPr>
            <a:endParaRPr lang="en-US"/>
          </a:p>
        </c:txPr>
        <c:crossAx val="649457912"/>
        <c:crosses val="autoZero"/>
        <c:auto val="1"/>
        <c:lblAlgn val="ctr"/>
        <c:lblOffset val="100"/>
        <c:noMultiLvlLbl val="0"/>
      </c:catAx>
      <c:valAx>
        <c:axId val="649457912"/>
        <c:scaling>
          <c:orientation val="minMax"/>
        </c:scaling>
        <c:delete val="1"/>
        <c:axPos val="l"/>
        <c:numFmt formatCode="_(* #,##0_);_(* \(#,##0\);_(* &quot;-&quot;??_);_(@_)" sourceLinked="1"/>
        <c:majorTickMark val="none"/>
        <c:minorTickMark val="none"/>
        <c:tickLblPos val="nextTo"/>
        <c:crossAx val="649456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[MISUO.xlsm]BackEnd!PivotTable14</c:name>
    <c:fmtId val="3"/>
  </c:pivotSource>
  <c:chart>
    <c:title>
      <c:tx>
        <c:rich>
          <a:bodyPr rot="0" spcFirstLastPara="1" vertOverflow="ellipsis" vert="horz" wrap="square" anchor="ctr" anchorCtr="1"/>
          <a:lstStyle/>
          <a:p>
            <a:pPr algn="ctr" rtl="0">
              <a:defRPr lang="en-US" sz="2000" b="1" i="0" u="none" strike="noStrike" kern="1200" spc="0" baseline="0">
                <a:solidFill>
                  <a:srgbClr val="192E59"/>
                </a:solidFill>
                <a:latin typeface="+mn-lt"/>
                <a:ea typeface="+mn-ea"/>
                <a:cs typeface="+mn-cs"/>
              </a:defRPr>
            </a:pPr>
            <a:r>
              <a:rPr lang="ar-EG" sz="2000" b="1" i="0" u="none" strike="noStrike" kern="1200" spc="0" baseline="0">
                <a:solidFill>
                  <a:srgbClr val="192E59"/>
                </a:solidFill>
                <a:latin typeface="+mn-lt"/>
                <a:ea typeface="+mn-ea"/>
                <a:cs typeface="+mn-cs"/>
              </a:rPr>
              <a:t>تفاصيل حالة التسليم</a:t>
            </a:r>
            <a:endParaRPr lang="en-US" sz="2000" b="1" i="0" u="none" strike="noStrike" kern="1200" spc="0" baseline="0">
              <a:solidFill>
                <a:srgbClr val="192E59"/>
              </a:solidFill>
              <a:latin typeface="+mn-lt"/>
              <a:ea typeface="+mn-ea"/>
              <a:cs typeface="+mn-cs"/>
            </a:endParaRP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rgbClr val="192E59"/>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0.10270144356955381"/>
              <c:y val="-0.122650554097404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layout>
            <c:manualLayout>
              <c:x val="-0.10270144356955381"/>
              <c:y val="-0.122650554097404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A6030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8254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A60303"/>
            </a:solidFill>
            <a:round/>
          </a:ln>
          <a:effectLst/>
        </c:spPr>
        <c:marker>
          <c:symbol val="none"/>
        </c:marker>
        <c:dLbl>
          <c:idx val="0"/>
          <c:layout>
            <c:manualLayout>
              <c:x val="-0.10270144356955381"/>
              <c:y val="-0.1226505540974044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8254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BackEnd!$AC$22</c:f>
              <c:strCache>
                <c:ptCount val="1"/>
                <c:pt idx="0">
                  <c:v>Total</c:v>
                </c:pt>
              </c:strCache>
            </c:strRef>
          </c:tx>
          <c:spPr>
            <a:ln w="28575" cap="rnd">
              <a:solidFill>
                <a:srgbClr val="A60303"/>
              </a:solidFill>
              <a:round/>
            </a:ln>
            <a:effectLst/>
          </c:spPr>
          <c:marker>
            <c:symbol val="none"/>
          </c:marker>
          <c:dPt>
            <c:idx val="5"/>
            <c:marker>
              <c:symbol val="none"/>
            </c:marker>
            <c:bubble3D val="0"/>
            <c:spPr>
              <a:ln w="28575" cap="rnd">
                <a:solidFill>
                  <a:srgbClr val="A60303"/>
                </a:solidFill>
                <a:round/>
              </a:ln>
              <a:effectLst/>
            </c:spPr>
            <c:extLst>
              <c:ext xmlns:c16="http://schemas.microsoft.com/office/drawing/2014/chart" uri="{C3380CC4-5D6E-409C-BE32-E72D297353CC}">
                <c16:uniqueId val="{00000000-E0D4-421D-AB1B-98210E8C377F}"/>
              </c:ext>
            </c:extLst>
          </c:dPt>
          <c:dLbls>
            <c:dLbl>
              <c:idx val="5"/>
              <c:layout>
                <c:manualLayout>
                  <c:x val="-0.10270144356955381"/>
                  <c:y val="-0.1226505540974044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0D4-421D-AB1B-98210E8C377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8254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BackEnd!$AB$23:$AB$30</c:f>
              <c:strCache>
                <c:ptCount val="7"/>
                <c:pt idx="0">
                  <c:v>(blank)</c:v>
                </c:pt>
                <c:pt idx="1">
                  <c:v>تم التصنيع</c:v>
                </c:pt>
                <c:pt idx="2">
                  <c:v>مرفوض </c:v>
                </c:pt>
                <c:pt idx="3">
                  <c:v>مرتجع</c:v>
                </c:pt>
                <c:pt idx="4">
                  <c:v>فشل التسليم</c:v>
                </c:pt>
                <c:pt idx="5">
                  <c:v>لاغى</c:v>
                </c:pt>
                <c:pt idx="6">
                  <c:v>تم التسليم</c:v>
                </c:pt>
              </c:strCache>
            </c:strRef>
          </c:cat>
          <c:val>
            <c:numRef>
              <c:f>BackEnd!$AC$23:$AC$30</c:f>
              <c:numCache>
                <c:formatCode>0.00%</c:formatCode>
                <c:ptCount val="7"/>
                <c:pt idx="0">
                  <c:v>0</c:v>
                </c:pt>
                <c:pt idx="1">
                  <c:v>9.2592592592592587E-3</c:v>
                </c:pt>
                <c:pt idx="2">
                  <c:v>9.2592592592592587E-3</c:v>
                </c:pt>
                <c:pt idx="3">
                  <c:v>9.2592592592592587E-3</c:v>
                </c:pt>
                <c:pt idx="4">
                  <c:v>2.7777777777777776E-2</c:v>
                </c:pt>
                <c:pt idx="5">
                  <c:v>0.12962962962962962</c:v>
                </c:pt>
                <c:pt idx="6">
                  <c:v>0.81481481481481477</c:v>
                </c:pt>
              </c:numCache>
            </c:numRef>
          </c:val>
          <c:smooth val="0"/>
          <c:extLst>
            <c:ext xmlns:c16="http://schemas.microsoft.com/office/drawing/2014/chart" uri="{C3380CC4-5D6E-409C-BE32-E72D297353CC}">
              <c16:uniqueId val="{00000001-E0D4-421D-AB1B-98210E8C377F}"/>
            </c:ext>
          </c:extLst>
        </c:ser>
        <c:dLbls>
          <c:dLblPos val="t"/>
          <c:showLegendKey val="0"/>
          <c:showVal val="1"/>
          <c:showCatName val="0"/>
          <c:showSerName val="0"/>
          <c:showPercent val="0"/>
          <c:showBubbleSize val="0"/>
        </c:dLbls>
        <c:smooth val="0"/>
        <c:axId val="643661320"/>
        <c:axId val="643663288"/>
      </c:lineChart>
      <c:catAx>
        <c:axId val="643661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82540"/>
                </a:solidFill>
                <a:latin typeface="+mn-lt"/>
                <a:ea typeface="+mn-ea"/>
                <a:cs typeface="+mn-cs"/>
              </a:defRPr>
            </a:pPr>
            <a:endParaRPr lang="en-US"/>
          </a:p>
        </c:txPr>
        <c:crossAx val="643663288"/>
        <c:crosses val="autoZero"/>
        <c:auto val="1"/>
        <c:lblAlgn val="ctr"/>
        <c:lblOffset val="100"/>
        <c:noMultiLvlLbl val="0"/>
      </c:catAx>
      <c:valAx>
        <c:axId val="643663288"/>
        <c:scaling>
          <c:orientation val="minMax"/>
        </c:scaling>
        <c:delete val="1"/>
        <c:axPos val="l"/>
        <c:numFmt formatCode="0.00%" sourceLinked="1"/>
        <c:majorTickMark val="none"/>
        <c:minorTickMark val="none"/>
        <c:tickLblPos val="nextTo"/>
        <c:crossAx val="643661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[MISUO.xlsm]BackEnd!PivotTable16</c:name>
    <c:fmtId val="4"/>
  </c:pivotSource>
  <c:chart>
    <c:title>
      <c:tx>
        <c:rich>
          <a:bodyPr rot="0" spcFirstLastPara="1" vertOverflow="ellipsis" vert="horz" wrap="square" anchor="ctr" anchorCtr="1"/>
          <a:lstStyle/>
          <a:p>
            <a:pPr algn="ctr" rtl="0">
              <a:defRPr lang="en-US" sz="2000" b="1" i="0" u="none" strike="noStrike" kern="1200" spc="0" baseline="0">
                <a:solidFill>
                  <a:srgbClr val="192E59"/>
                </a:solidFill>
                <a:latin typeface="+mn-lt"/>
                <a:ea typeface="+mn-ea"/>
                <a:cs typeface="+mn-cs"/>
              </a:defRPr>
            </a:pPr>
            <a:r>
              <a:rPr lang="ar-EG" sz="2000" b="1" i="0" u="none" strike="noStrike" kern="1200" spc="0" baseline="0">
                <a:solidFill>
                  <a:srgbClr val="192E59"/>
                </a:solidFill>
                <a:latin typeface="+mn-lt"/>
                <a:ea typeface="+mn-ea"/>
                <a:cs typeface="+mn-cs"/>
              </a:rPr>
              <a:t>مبيعات الطلبات لكل منطقة</a:t>
            </a:r>
            <a:endParaRPr lang="en-US" sz="2000" b="1" i="0" u="none" strike="noStrike" kern="1200" spc="0" baseline="0">
              <a:solidFill>
                <a:srgbClr val="192E59"/>
              </a:solidFill>
              <a:latin typeface="+mn-lt"/>
              <a:ea typeface="+mn-ea"/>
              <a:cs typeface="+mn-cs"/>
            </a:endParaRP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rgbClr val="192E59"/>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A6030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8254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BackEnd!$AI$5</c:f>
              <c:strCache>
                <c:ptCount val="1"/>
                <c:pt idx="0">
                  <c:v>Total</c:v>
                </c:pt>
              </c:strCache>
            </c:strRef>
          </c:tx>
          <c:spPr>
            <a:solidFill>
              <a:srgbClr val="A6030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8254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BackEnd!$AH$6:$AH$15</c:f>
              <c:strCache>
                <c:ptCount val="9"/>
                <c:pt idx="0">
                  <c:v>أسيوط</c:v>
                </c:pt>
                <c:pt idx="1">
                  <c:v>الساحل الشمالي</c:v>
                </c:pt>
                <c:pt idx="2">
                  <c:v>الغردقة</c:v>
                </c:pt>
                <c:pt idx="3">
                  <c:v>الأسكندرية</c:v>
                </c:pt>
                <c:pt idx="4">
                  <c:v>القليوبية</c:v>
                </c:pt>
                <c:pt idx="5">
                  <c:v>السويس</c:v>
                </c:pt>
                <c:pt idx="6">
                  <c:v>(blank)</c:v>
                </c:pt>
                <c:pt idx="7">
                  <c:v>الجيزة</c:v>
                </c:pt>
                <c:pt idx="8">
                  <c:v>القاهرة</c:v>
                </c:pt>
              </c:strCache>
            </c:strRef>
          </c:cat>
          <c:val>
            <c:numRef>
              <c:f>BackEnd!$AI$6:$AI$15</c:f>
              <c:numCache>
                <c:formatCode>_(* #,##0_);_(* \(#,##0\);_(* "-"??_);_(@_)</c:formatCode>
                <c:ptCount val="9"/>
                <c:pt idx="0">
                  <c:v>12999</c:v>
                </c:pt>
                <c:pt idx="1">
                  <c:v>24288</c:v>
                </c:pt>
                <c:pt idx="2">
                  <c:v>41640</c:v>
                </c:pt>
                <c:pt idx="3">
                  <c:v>54762</c:v>
                </c:pt>
                <c:pt idx="4">
                  <c:v>55061</c:v>
                </c:pt>
                <c:pt idx="5">
                  <c:v>62520.905440000002</c:v>
                </c:pt>
                <c:pt idx="6">
                  <c:v>134134</c:v>
                </c:pt>
                <c:pt idx="7">
                  <c:v>232981.5</c:v>
                </c:pt>
                <c:pt idx="8">
                  <c:v>536920.90999999992</c:v>
                </c:pt>
              </c:numCache>
            </c:numRef>
          </c:val>
          <c:extLst>
            <c:ext xmlns:c16="http://schemas.microsoft.com/office/drawing/2014/chart" uri="{C3380CC4-5D6E-409C-BE32-E72D297353CC}">
              <c16:uniqueId val="{00000000-791E-4BC3-8A55-D1FA514A36E1}"/>
            </c:ext>
          </c:extLst>
        </c:ser>
        <c:dLbls>
          <c:dLblPos val="outEnd"/>
          <c:showLegendKey val="0"/>
          <c:showVal val="1"/>
          <c:showCatName val="0"/>
          <c:showSerName val="0"/>
          <c:showPercent val="0"/>
          <c:showBubbleSize val="0"/>
        </c:dLbls>
        <c:gapWidth val="219"/>
        <c:overlap val="-27"/>
        <c:axId val="649462832"/>
        <c:axId val="649463160"/>
      </c:barChart>
      <c:catAx>
        <c:axId val="64946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82540"/>
                </a:solidFill>
                <a:latin typeface="+mn-lt"/>
                <a:ea typeface="+mn-ea"/>
                <a:cs typeface="+mn-cs"/>
              </a:defRPr>
            </a:pPr>
            <a:endParaRPr lang="en-US"/>
          </a:p>
        </c:txPr>
        <c:crossAx val="649463160"/>
        <c:crosses val="autoZero"/>
        <c:auto val="1"/>
        <c:lblAlgn val="ctr"/>
        <c:lblOffset val="100"/>
        <c:noMultiLvlLbl val="0"/>
      </c:catAx>
      <c:valAx>
        <c:axId val="649463160"/>
        <c:scaling>
          <c:orientation val="minMax"/>
        </c:scaling>
        <c:delete val="1"/>
        <c:axPos val="l"/>
        <c:numFmt formatCode="_(* #,##0_);_(* \(#,##0\);_(* &quot;-&quot;??_);_(@_)" sourceLinked="1"/>
        <c:majorTickMark val="none"/>
        <c:minorTickMark val="none"/>
        <c:tickLblPos val="nextTo"/>
        <c:crossAx val="649462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[MISUO.xlsm]BackEnd!PivotTable11</c:name>
    <c:fmtId val="4"/>
  </c:pivotSource>
  <c:chart>
    <c:title>
      <c:tx>
        <c:rich>
          <a:bodyPr rot="0" spcFirstLastPara="1" vertOverflow="ellipsis" vert="horz" wrap="square" anchor="ctr" anchorCtr="1"/>
          <a:lstStyle/>
          <a:p>
            <a:pPr algn="ctr" rtl="0">
              <a:defRPr lang="en-US" sz="2000" b="1" i="0" u="none" strike="noStrike" kern="1200" spc="0" baseline="0">
                <a:solidFill>
                  <a:srgbClr val="192E59"/>
                </a:solidFill>
                <a:latin typeface="+mn-lt"/>
                <a:ea typeface="+mn-ea"/>
                <a:cs typeface="+mn-cs"/>
              </a:defRPr>
            </a:pPr>
            <a:r>
              <a:rPr lang="ar-EG" sz="2000" b="1" i="0" u="none" strike="noStrike" kern="1200" spc="0" baseline="0">
                <a:solidFill>
                  <a:srgbClr val="192E59"/>
                </a:solidFill>
                <a:latin typeface="+mn-lt"/>
                <a:ea typeface="+mn-ea"/>
                <a:cs typeface="+mn-cs"/>
              </a:rPr>
              <a:t>نسبة وصول الطلب بالموعد</a:t>
            </a:r>
            <a:endParaRPr lang="en-US" sz="2000" b="1" i="0" u="none" strike="noStrike" kern="1200" spc="0" baseline="0">
              <a:solidFill>
                <a:srgbClr val="192E59"/>
              </a:solidFill>
              <a:latin typeface="+mn-lt"/>
              <a:ea typeface="+mn-ea"/>
              <a:cs typeface="+mn-cs"/>
            </a:endParaRPr>
          </a:p>
        </c:rich>
      </c:tx>
      <c:layout>
        <c:manualLayout>
          <c:xMode val="edge"/>
          <c:yMode val="edge"/>
          <c:x val="0.15979898318487784"/>
          <c:y val="3.486404885844268E-3"/>
        </c:manualLayout>
      </c:layout>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rgbClr val="192E59"/>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5"/>
          </a:solidFill>
          <a:ln w="19050">
            <a:solidFill>
              <a:schemeClr val="lt1"/>
            </a:solidFill>
          </a:ln>
          <a:effectLst/>
        </c:spPr>
        <c:dLbl>
          <c:idx val="0"/>
          <c:layout>
            <c:manualLayout>
              <c:x val="0.10555555555555556"/>
              <c:y val="-3.7037037037037035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olidFill>
          <a:ln w="19050">
            <a:solidFill>
              <a:schemeClr val="lt1"/>
            </a:solid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5"/>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lt1"/>
            </a:solidFill>
          </a:ln>
          <a:effectLst/>
        </c:spPr>
      </c:pivotFmt>
      <c:pivotFmt>
        <c:idx val="9"/>
        <c:spPr>
          <a:solidFill>
            <a:schemeClr val="accent5"/>
          </a:solidFill>
          <a:ln w="19050">
            <a:solidFill>
              <a:schemeClr val="lt1"/>
            </a:solidFill>
          </a:ln>
          <a:effectLst/>
        </c:spPr>
        <c:dLbl>
          <c:idx val="0"/>
          <c:layout>
            <c:manualLayout>
              <c:x val="0.10555555555555556"/>
              <c:y val="-3.7037037037037035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5"/>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ln>
                    <a:noFill/>
                  </a:ln>
                  <a:solidFill>
                    <a:srgbClr val="A60303"/>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5">
              <a:shade val="58000"/>
            </a:schemeClr>
          </a:solidFill>
          <a:ln w="19050">
            <a:solidFill>
              <a:schemeClr val="lt1"/>
            </a:solidFill>
          </a:ln>
          <a:effectLst/>
        </c:spPr>
      </c:pivotFmt>
      <c:pivotFmt>
        <c:idx val="12"/>
        <c:spPr>
          <a:solidFill>
            <a:schemeClr val="accent5">
              <a:shade val="86000"/>
            </a:schemeClr>
          </a:solidFill>
          <a:ln w="19050">
            <a:solidFill>
              <a:schemeClr val="lt1"/>
            </a:solidFill>
          </a:ln>
          <a:effectLst/>
        </c:spPr>
        <c:dLbl>
          <c:idx val="0"/>
          <c:layout>
            <c:manualLayout>
              <c:x val="0.16252831781324761"/>
              <c:y val="-3.6437258579253062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ln>
                    <a:noFill/>
                  </a:ln>
                  <a:solidFill>
                    <a:srgbClr val="A60303"/>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5">
              <a:tint val="86000"/>
            </a:schemeClr>
          </a:solidFill>
          <a:ln w="19050">
            <a:solidFill>
              <a:schemeClr val="lt1"/>
            </a:solidFill>
          </a:ln>
          <a:effectLst/>
        </c:spPr>
      </c:pivotFmt>
      <c:pivotFmt>
        <c:idx val="14"/>
        <c:spPr>
          <a:solidFill>
            <a:schemeClr val="accent5">
              <a:tint val="58000"/>
            </a:schemeClr>
          </a:solidFill>
          <a:ln w="19050">
            <a:solidFill>
              <a:schemeClr val="lt1"/>
            </a:solidFill>
          </a:ln>
          <a:effectLst/>
        </c:spPr>
      </c:pivotFmt>
    </c:pivotFmts>
    <c:plotArea>
      <c:layout/>
      <c:pieChart>
        <c:varyColors val="1"/>
        <c:ser>
          <c:idx val="0"/>
          <c:order val="0"/>
          <c:tx>
            <c:strRef>
              <c:f>BackEnd!$AC$5</c:f>
              <c:strCache>
                <c:ptCount val="1"/>
                <c:pt idx="0">
                  <c:v>Total</c:v>
                </c:pt>
              </c:strCache>
            </c:strRef>
          </c:tx>
          <c:dPt>
            <c:idx val="0"/>
            <c:bubble3D val="0"/>
            <c:spPr>
              <a:solidFill>
                <a:schemeClr val="accent5">
                  <a:shade val="58000"/>
                </a:schemeClr>
              </a:solidFill>
              <a:ln w="19050">
                <a:solidFill>
                  <a:schemeClr val="lt1"/>
                </a:solidFill>
              </a:ln>
              <a:effectLst/>
            </c:spPr>
            <c:extLst>
              <c:ext xmlns:c16="http://schemas.microsoft.com/office/drawing/2014/chart" uri="{C3380CC4-5D6E-409C-BE32-E72D297353CC}">
                <c16:uniqueId val="{00000001-B431-4BDD-8E7E-A6623CC14D1E}"/>
              </c:ext>
            </c:extLst>
          </c:dPt>
          <c:dPt>
            <c:idx val="1"/>
            <c:bubble3D val="0"/>
            <c:spPr>
              <a:solidFill>
                <a:schemeClr val="accent5">
                  <a:shade val="86000"/>
                </a:schemeClr>
              </a:solidFill>
              <a:ln w="19050">
                <a:solidFill>
                  <a:schemeClr val="lt1"/>
                </a:solidFill>
              </a:ln>
              <a:effectLst/>
            </c:spPr>
            <c:extLst>
              <c:ext xmlns:c16="http://schemas.microsoft.com/office/drawing/2014/chart" uri="{C3380CC4-5D6E-409C-BE32-E72D297353CC}">
                <c16:uniqueId val="{00000003-B431-4BDD-8E7E-A6623CC14D1E}"/>
              </c:ext>
            </c:extLst>
          </c:dPt>
          <c:dPt>
            <c:idx val="2"/>
            <c:bubble3D val="0"/>
            <c:spPr>
              <a:solidFill>
                <a:schemeClr val="accent5">
                  <a:tint val="86000"/>
                </a:schemeClr>
              </a:solidFill>
              <a:ln w="19050">
                <a:solidFill>
                  <a:schemeClr val="lt1"/>
                </a:solidFill>
              </a:ln>
              <a:effectLst/>
            </c:spPr>
            <c:extLst>
              <c:ext xmlns:c16="http://schemas.microsoft.com/office/drawing/2014/chart" uri="{C3380CC4-5D6E-409C-BE32-E72D297353CC}">
                <c16:uniqueId val="{00000005-B431-4BDD-8E7E-A6623CC14D1E}"/>
              </c:ext>
            </c:extLst>
          </c:dPt>
          <c:dPt>
            <c:idx val="3"/>
            <c:bubble3D val="0"/>
            <c:spPr>
              <a:solidFill>
                <a:schemeClr val="accent5">
                  <a:tint val="58000"/>
                </a:schemeClr>
              </a:solidFill>
              <a:ln w="19050">
                <a:solidFill>
                  <a:schemeClr val="lt1"/>
                </a:solidFill>
              </a:ln>
              <a:effectLst/>
            </c:spPr>
            <c:extLst>
              <c:ext xmlns:c16="http://schemas.microsoft.com/office/drawing/2014/chart" uri="{C3380CC4-5D6E-409C-BE32-E72D297353CC}">
                <c16:uniqueId val="{00000007-B431-4BDD-8E7E-A6623CC14D1E}"/>
              </c:ext>
            </c:extLst>
          </c:dPt>
          <c:dLbls>
            <c:dLbl>
              <c:idx val="1"/>
              <c:layout>
                <c:manualLayout>
                  <c:x val="0.16252831781324761"/>
                  <c:y val="-3.643725857925306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431-4BDD-8E7E-A6623CC14D1E}"/>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ln>
                      <a:noFill/>
                    </a:ln>
                    <a:solidFill>
                      <a:srgbClr val="A60303"/>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BackEnd!$AB$6:$AB$10</c:f>
              <c:strCache>
                <c:ptCount val="4"/>
                <c:pt idx="0">
                  <c:v>Early</c:v>
                </c:pt>
                <c:pt idx="1">
                  <c:v>Late</c:v>
                </c:pt>
                <c:pt idx="2">
                  <c:v>On Time</c:v>
                </c:pt>
                <c:pt idx="3">
                  <c:v>Very Late</c:v>
                </c:pt>
              </c:strCache>
            </c:strRef>
          </c:cat>
          <c:val>
            <c:numRef>
              <c:f>BackEnd!$AC$6:$AC$10</c:f>
              <c:numCache>
                <c:formatCode>0.00%</c:formatCode>
                <c:ptCount val="4"/>
                <c:pt idx="0">
                  <c:v>0.32142857142857145</c:v>
                </c:pt>
                <c:pt idx="1">
                  <c:v>0.36607142857142855</c:v>
                </c:pt>
                <c:pt idx="2">
                  <c:v>0.2767857142857143</c:v>
                </c:pt>
                <c:pt idx="3">
                  <c:v>3.5714285714285712E-2</c:v>
                </c:pt>
              </c:numCache>
            </c:numRef>
          </c:val>
          <c:extLst>
            <c:ext xmlns:c16="http://schemas.microsoft.com/office/drawing/2014/chart" uri="{C3380CC4-5D6E-409C-BE32-E72D297353CC}">
              <c16:uniqueId val="{00000008-B431-4BDD-8E7E-A6623CC14D1E}"/>
            </c:ext>
          </c:extLst>
        </c:ser>
        <c:dLbls>
          <c:dLblPos val="inEnd"/>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hyperlink" Target="#&#1575;&#1604;&#1576;&#1610;&#1575;&#1606;&#1575;&#1578;!A1"/><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image" Target="../media/image1.jp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27</xdr:col>
      <xdr:colOff>80432</xdr:colOff>
      <xdr:row>47</xdr:row>
      <xdr:rowOff>33867</xdr:rowOff>
    </xdr:from>
    <xdr:to>
      <xdr:col>31</xdr:col>
      <xdr:colOff>660400</xdr:colOff>
      <xdr:row>58</xdr:row>
      <xdr:rowOff>148166</xdr:rowOff>
    </xdr:to>
    <xdr:graphicFrame macro="">
      <xdr:nvGraphicFramePr>
        <xdr:cNvPr id="14" name="Chart 13">
          <a:extLst>
            <a:ext uri="{FF2B5EF4-FFF2-40B4-BE49-F238E27FC236}">
              <a16:creationId xmlns:a16="http://schemas.microsoft.com/office/drawing/2014/main" id="{2E8131E3-CE40-4751-8AFA-EFBEECE87F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3</xdr:col>
      <xdr:colOff>591004</xdr:colOff>
      <xdr:row>30</xdr:row>
      <xdr:rowOff>16933</xdr:rowOff>
    </xdr:to>
    <xdr:sp macro="" textlink="">
      <xdr:nvSpPr>
        <xdr:cNvPr id="2" name="Rectangle: Rounded Corners 1">
          <a:extLst>
            <a:ext uri="{FF2B5EF4-FFF2-40B4-BE49-F238E27FC236}">
              <a16:creationId xmlns:a16="http://schemas.microsoft.com/office/drawing/2014/main" id="{0738DA1E-3E86-450E-9F40-33AF13C59EFA}"/>
            </a:ext>
          </a:extLst>
        </xdr:cNvPr>
        <xdr:cNvSpPr/>
      </xdr:nvSpPr>
      <xdr:spPr>
        <a:xfrm>
          <a:off x="101600" y="101600"/>
          <a:ext cx="2521404" cy="5757333"/>
        </a:xfrm>
        <a:prstGeom prst="roundRect">
          <a:avLst>
            <a:gd name="adj" fmla="val 4243"/>
          </a:avLst>
        </a:prstGeom>
        <a:solidFill>
          <a:srgbClr val="18254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8467</xdr:colOff>
      <xdr:row>0</xdr:row>
      <xdr:rowOff>101600</xdr:rowOff>
    </xdr:from>
    <xdr:to>
      <xdr:col>23</xdr:col>
      <xdr:colOff>110066</xdr:colOff>
      <xdr:row>3</xdr:row>
      <xdr:rowOff>186267</xdr:rowOff>
    </xdr:to>
    <xdr:sp macro="" textlink="">
      <xdr:nvSpPr>
        <xdr:cNvPr id="3" name="Rectangle: Rounded Corners 2">
          <a:extLst>
            <a:ext uri="{FF2B5EF4-FFF2-40B4-BE49-F238E27FC236}">
              <a16:creationId xmlns:a16="http://schemas.microsoft.com/office/drawing/2014/main" id="{BCFAB3CE-E9FF-4C4B-982C-1375CA2CEA83}"/>
            </a:ext>
          </a:extLst>
        </xdr:cNvPr>
        <xdr:cNvSpPr/>
      </xdr:nvSpPr>
      <xdr:spPr>
        <a:xfrm>
          <a:off x="2717800" y="101600"/>
          <a:ext cx="12970933" cy="668867"/>
        </a:xfrm>
        <a:prstGeom prst="roundRect">
          <a:avLst/>
        </a:prstGeom>
        <a:solidFill>
          <a:srgbClr val="18254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ln>
                <a:noFill/>
              </a:ln>
              <a:solidFill>
                <a:srgbClr val="F2F2F2"/>
              </a:solidFill>
            </a:rPr>
            <a:t>MISUO</a:t>
          </a:r>
          <a:r>
            <a:rPr lang="en-US" sz="3600" b="1" baseline="0">
              <a:ln>
                <a:noFill/>
              </a:ln>
              <a:solidFill>
                <a:srgbClr val="F2F2F2"/>
              </a:solidFill>
            </a:rPr>
            <a:t> DashBoard</a:t>
          </a:r>
          <a:endParaRPr lang="en-US" sz="3600" b="1">
            <a:ln>
              <a:noFill/>
            </a:ln>
            <a:solidFill>
              <a:srgbClr val="F2F2F2"/>
            </a:solidFill>
          </a:endParaRPr>
        </a:p>
      </xdr:txBody>
    </xdr:sp>
    <xdr:clientData/>
  </xdr:twoCellAnchor>
  <xdr:twoCellAnchor>
    <xdr:from>
      <xdr:col>0</xdr:col>
      <xdr:colOff>516467</xdr:colOff>
      <xdr:row>1</xdr:row>
      <xdr:rowOff>8466</xdr:rowOff>
    </xdr:from>
    <xdr:to>
      <xdr:col>3</xdr:col>
      <xdr:colOff>84667</xdr:colOff>
      <xdr:row>8</xdr:row>
      <xdr:rowOff>110066</xdr:rowOff>
    </xdr:to>
    <xdr:grpSp>
      <xdr:nvGrpSpPr>
        <xdr:cNvPr id="10" name="Group 9">
          <a:extLst>
            <a:ext uri="{FF2B5EF4-FFF2-40B4-BE49-F238E27FC236}">
              <a16:creationId xmlns:a16="http://schemas.microsoft.com/office/drawing/2014/main" id="{20824C7A-306C-4E24-BFF4-1C55451AB226}"/>
            </a:ext>
          </a:extLst>
        </xdr:cNvPr>
        <xdr:cNvGrpSpPr/>
      </xdr:nvGrpSpPr>
      <xdr:grpSpPr>
        <a:xfrm>
          <a:off x="516467" y="203199"/>
          <a:ext cx="1600200" cy="1464734"/>
          <a:chOff x="465667" y="389466"/>
          <a:chExt cx="1727199" cy="1710267"/>
        </a:xfrm>
        <a:scene3d>
          <a:camera prst="orthographicFront">
            <a:rot lat="0" lon="0" rev="0"/>
          </a:camera>
          <a:lightRig rig="glow" dir="t">
            <a:rot lat="0" lon="0" rev="4800000"/>
          </a:lightRig>
        </a:scene3d>
      </xdr:grpSpPr>
      <xdr:sp macro="" textlink="">
        <xdr:nvSpPr>
          <xdr:cNvPr id="11" name="Oval 10">
            <a:extLst>
              <a:ext uri="{FF2B5EF4-FFF2-40B4-BE49-F238E27FC236}">
                <a16:creationId xmlns:a16="http://schemas.microsoft.com/office/drawing/2014/main" id="{97F2E4EC-A5A7-4ACB-818E-DDADC89EB791}"/>
              </a:ext>
            </a:extLst>
          </xdr:cNvPr>
          <xdr:cNvSpPr/>
        </xdr:nvSpPr>
        <xdr:spPr>
          <a:xfrm>
            <a:off x="465667" y="389466"/>
            <a:ext cx="1727199" cy="1710267"/>
          </a:xfrm>
          <a:prstGeom prst="ellipse">
            <a:avLst/>
          </a:prstGeom>
          <a:solidFill>
            <a:srgbClr val="1A294D"/>
          </a:solidFill>
          <a:ln w="38100">
            <a:noFill/>
          </a:ln>
          <a:effectLst>
            <a:outerShdw blurRad="190500" dist="228600" dir="2700000" algn="ctr">
              <a:srgbClr val="000000">
                <a:alpha val="30000"/>
              </a:srgbClr>
            </a:outerShdw>
          </a:effectLst>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72186E04-9104-4EED-9367-C4F09FCE23D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4333" y="711200"/>
            <a:ext cx="1066800" cy="1066800"/>
          </a:xfrm>
          <a:prstGeom prst="rect">
            <a:avLst/>
          </a:prstGeom>
          <a:ln>
            <a:noFill/>
          </a:ln>
          <a:effectLst>
            <a:outerShdw blurRad="190500" dist="228600" dir="2700000" algn="ctr">
              <a:srgbClr val="000000">
                <a:alpha val="30000"/>
              </a:srgbClr>
            </a:outerShdw>
          </a:effectLst>
          <a:sp3d prstMaterial="matte">
            <a:bevelT w="127000" h="63500"/>
          </a:sp3d>
        </xdr:spPr>
      </xdr:pic>
    </xdr:grpSp>
    <xdr:clientData/>
  </xdr:twoCellAnchor>
  <xdr:twoCellAnchor>
    <xdr:from>
      <xdr:col>3</xdr:col>
      <xdr:colOff>667760</xdr:colOff>
      <xdr:row>8</xdr:row>
      <xdr:rowOff>127000</xdr:rowOff>
    </xdr:from>
    <xdr:to>
      <xdr:col>10</xdr:col>
      <xdr:colOff>210559</xdr:colOff>
      <xdr:row>20</xdr:row>
      <xdr:rowOff>33867</xdr:rowOff>
    </xdr:to>
    <xdr:grpSp>
      <xdr:nvGrpSpPr>
        <xdr:cNvPr id="53" name="Group 52">
          <a:extLst>
            <a:ext uri="{FF2B5EF4-FFF2-40B4-BE49-F238E27FC236}">
              <a16:creationId xmlns:a16="http://schemas.microsoft.com/office/drawing/2014/main" id="{D4E775B4-C234-41FE-8AA6-4829F41F00D1}"/>
            </a:ext>
          </a:extLst>
        </xdr:cNvPr>
        <xdr:cNvGrpSpPr/>
      </xdr:nvGrpSpPr>
      <xdr:grpSpPr>
        <a:xfrm>
          <a:off x="2699760" y="1684867"/>
          <a:ext cx="4284132" cy="2243667"/>
          <a:chOff x="2743201" y="2015067"/>
          <a:chExt cx="7594600" cy="3716866"/>
        </a:xfrm>
      </xdr:grpSpPr>
      <xdr:sp macro="" textlink="">
        <xdr:nvSpPr>
          <xdr:cNvPr id="9" name="Rectangle: Rounded Corners 8">
            <a:extLst>
              <a:ext uri="{FF2B5EF4-FFF2-40B4-BE49-F238E27FC236}">
                <a16:creationId xmlns:a16="http://schemas.microsoft.com/office/drawing/2014/main" id="{1B45D3E4-2DB9-47AF-942A-6BC3AFFC2580}"/>
              </a:ext>
            </a:extLst>
          </xdr:cNvPr>
          <xdr:cNvSpPr/>
        </xdr:nvSpPr>
        <xdr:spPr>
          <a:xfrm>
            <a:off x="2743201" y="2015067"/>
            <a:ext cx="7594600" cy="3716866"/>
          </a:xfrm>
          <a:prstGeom prst="roundRect">
            <a:avLst>
              <a:gd name="adj" fmla="val 5724"/>
            </a:avLst>
          </a:prstGeom>
          <a:solidFill>
            <a:srgbClr val="F2F2F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graphicFrame macro="">
        <xdr:nvGraphicFramePr>
          <xdr:cNvPr id="17" name="Chart 16">
            <a:extLst>
              <a:ext uri="{FF2B5EF4-FFF2-40B4-BE49-F238E27FC236}">
                <a16:creationId xmlns:a16="http://schemas.microsoft.com/office/drawing/2014/main" id="{6D0B8A05-211A-4558-90D7-62D7098ED788}"/>
              </a:ext>
            </a:extLst>
          </xdr:cNvPr>
          <xdr:cNvGraphicFramePr>
            <a:graphicFrameLocks/>
          </xdr:cNvGraphicFramePr>
        </xdr:nvGraphicFramePr>
        <xdr:xfrm>
          <a:off x="3081868" y="2142066"/>
          <a:ext cx="6908799" cy="339513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xdr:col>
      <xdr:colOff>656492</xdr:colOff>
      <xdr:row>4</xdr:row>
      <xdr:rowOff>50799</xdr:rowOff>
    </xdr:from>
    <xdr:to>
      <xdr:col>7</xdr:col>
      <xdr:colOff>488265</xdr:colOff>
      <xdr:row>8</xdr:row>
      <xdr:rowOff>84666</xdr:rowOff>
    </xdr:to>
    <xdr:sp macro="" textlink="">
      <xdr:nvSpPr>
        <xdr:cNvPr id="4" name="Rectangle: Rounded Corners 3">
          <a:extLst>
            <a:ext uri="{FF2B5EF4-FFF2-40B4-BE49-F238E27FC236}">
              <a16:creationId xmlns:a16="http://schemas.microsoft.com/office/drawing/2014/main" id="{722A24E4-25A7-4A2A-8C2A-469495B2D16A}"/>
            </a:ext>
          </a:extLst>
        </xdr:cNvPr>
        <xdr:cNvSpPr/>
      </xdr:nvSpPr>
      <xdr:spPr>
        <a:xfrm>
          <a:off x="2688492" y="829732"/>
          <a:ext cx="2541106" cy="812801"/>
        </a:xfrm>
        <a:prstGeom prst="roundRect">
          <a:avLst/>
        </a:prstGeom>
        <a:solidFill>
          <a:srgbClr val="F2F2F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b="1">
            <a:ln>
              <a:noFill/>
            </a:ln>
            <a:solidFill>
              <a:srgbClr val="192E59"/>
            </a:solidFill>
          </a:endParaRPr>
        </a:p>
      </xdr:txBody>
    </xdr:sp>
    <xdr:clientData/>
  </xdr:twoCellAnchor>
  <xdr:twoCellAnchor>
    <xdr:from>
      <xdr:col>4</xdr:col>
      <xdr:colOff>169335</xdr:colOff>
      <xdr:row>4</xdr:row>
      <xdr:rowOff>118533</xdr:rowOff>
    </xdr:from>
    <xdr:to>
      <xdr:col>7</xdr:col>
      <xdr:colOff>296333</xdr:colOff>
      <xdr:row>6</xdr:row>
      <xdr:rowOff>8466</xdr:rowOff>
    </xdr:to>
    <xdr:sp macro="" textlink="">
      <xdr:nvSpPr>
        <xdr:cNvPr id="18" name="Rectangle 17">
          <a:extLst>
            <a:ext uri="{FF2B5EF4-FFF2-40B4-BE49-F238E27FC236}">
              <a16:creationId xmlns:a16="http://schemas.microsoft.com/office/drawing/2014/main" id="{1709FCB8-D61D-4B4C-BC58-EEB7ACEAE44F}"/>
            </a:ext>
          </a:extLst>
        </xdr:cNvPr>
        <xdr:cNvSpPr/>
      </xdr:nvSpPr>
      <xdr:spPr>
        <a:xfrm>
          <a:off x="2878668" y="897466"/>
          <a:ext cx="2158998" cy="279400"/>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ar-EG" sz="2000" b="1">
              <a:ln>
                <a:noFill/>
              </a:ln>
              <a:solidFill>
                <a:srgbClr val="192E59"/>
              </a:solidFill>
            </a:rPr>
            <a:t>إجمالي المبيعات</a:t>
          </a:r>
          <a:endParaRPr lang="en-US" sz="1000" b="1">
            <a:ln>
              <a:noFill/>
            </a:ln>
            <a:solidFill>
              <a:srgbClr val="192E59"/>
            </a:solidFill>
          </a:endParaRPr>
        </a:p>
      </xdr:txBody>
    </xdr:sp>
    <xdr:clientData/>
  </xdr:twoCellAnchor>
  <xdr:twoCellAnchor>
    <xdr:from>
      <xdr:col>4</xdr:col>
      <xdr:colOff>169598</xdr:colOff>
      <xdr:row>6</xdr:row>
      <xdr:rowOff>110067</xdr:rowOff>
    </xdr:from>
    <xdr:to>
      <xdr:col>7</xdr:col>
      <xdr:colOff>304800</xdr:colOff>
      <xdr:row>8</xdr:row>
      <xdr:rowOff>0</xdr:rowOff>
    </xdr:to>
    <xdr:sp macro="" textlink="BackEnd!C6">
      <xdr:nvSpPr>
        <xdr:cNvPr id="19" name="Rectangle 18">
          <a:extLst>
            <a:ext uri="{FF2B5EF4-FFF2-40B4-BE49-F238E27FC236}">
              <a16:creationId xmlns:a16="http://schemas.microsoft.com/office/drawing/2014/main" id="{2A81AF40-7635-4D29-94A4-7B3EC7CB05A0}"/>
            </a:ext>
          </a:extLst>
        </xdr:cNvPr>
        <xdr:cNvSpPr/>
      </xdr:nvSpPr>
      <xdr:spPr>
        <a:xfrm>
          <a:off x="2878931" y="1278467"/>
          <a:ext cx="2167202" cy="279400"/>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C8DEBC2-D626-4A9E-894B-0B5D571F0AC4}" type="TxLink">
            <a:rPr lang="en-US" sz="1800" b="1" i="0" u="none" strike="noStrike">
              <a:ln>
                <a:noFill/>
              </a:ln>
              <a:solidFill>
                <a:srgbClr val="C00000"/>
              </a:solidFill>
              <a:latin typeface="Calibri"/>
              <a:cs typeface="Calibri"/>
            </a:rPr>
            <a:pPr algn="ctr"/>
            <a:t> 1,155,307 </a:t>
          </a:fld>
          <a:endParaRPr lang="en-US" sz="1800" b="1">
            <a:ln>
              <a:noFill/>
            </a:ln>
            <a:solidFill>
              <a:srgbClr val="C00000"/>
            </a:solidFill>
          </a:endParaRPr>
        </a:p>
      </xdr:txBody>
    </xdr:sp>
    <xdr:clientData/>
  </xdr:twoCellAnchor>
  <xdr:twoCellAnchor editAs="oneCell">
    <xdr:from>
      <xdr:col>0</xdr:col>
      <xdr:colOff>143933</xdr:colOff>
      <xdr:row>8</xdr:row>
      <xdr:rowOff>169333</xdr:rowOff>
    </xdr:from>
    <xdr:to>
      <xdr:col>3</xdr:col>
      <xdr:colOff>550275</xdr:colOff>
      <xdr:row>16</xdr:row>
      <xdr:rowOff>76200</xdr:rowOff>
    </xdr:to>
    <mc:AlternateContent xmlns:mc="http://schemas.openxmlformats.org/markup-compatibility/2006" xmlns:a14="http://schemas.microsoft.com/office/drawing/2010/main">
      <mc:Choice Requires="a14">
        <xdr:graphicFrame macro="">
          <xdr:nvGraphicFramePr>
            <xdr:cNvPr id="36" name="المدينة 1">
              <a:extLst>
                <a:ext uri="{FF2B5EF4-FFF2-40B4-BE49-F238E27FC236}">
                  <a16:creationId xmlns:a16="http://schemas.microsoft.com/office/drawing/2014/main" id="{8FE6B703-8E7F-4560-8AF0-669F82E9DA09}"/>
                </a:ext>
              </a:extLst>
            </xdr:cNvPr>
            <xdr:cNvGraphicFramePr/>
          </xdr:nvGraphicFramePr>
          <xdr:xfrm>
            <a:off x="0" y="0"/>
            <a:ext cx="0" cy="0"/>
          </xdr:xfrm>
          <a:graphic>
            <a:graphicData uri="http://schemas.microsoft.com/office/drawing/2010/slicer">
              <sle:slicer xmlns:sle="http://schemas.microsoft.com/office/drawing/2010/slicer" name="المدينة 1"/>
            </a:graphicData>
          </a:graphic>
        </xdr:graphicFrame>
      </mc:Choice>
      <mc:Fallback xmlns="">
        <xdr:sp macro="" textlink="">
          <xdr:nvSpPr>
            <xdr:cNvPr id="0" name=""/>
            <xdr:cNvSpPr>
              <a:spLocks noTextEdit="1"/>
            </xdr:cNvSpPr>
          </xdr:nvSpPr>
          <xdr:spPr>
            <a:xfrm>
              <a:off x="143933" y="1727200"/>
              <a:ext cx="2438342" cy="14647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143933</xdr:colOff>
      <xdr:row>16</xdr:row>
      <xdr:rowOff>93133</xdr:rowOff>
    </xdr:from>
    <xdr:to>
      <xdr:col>3</xdr:col>
      <xdr:colOff>550333</xdr:colOff>
      <xdr:row>25</xdr:row>
      <xdr:rowOff>101601</xdr:rowOff>
    </xdr:to>
    <mc:AlternateContent xmlns:mc="http://schemas.openxmlformats.org/markup-compatibility/2006" xmlns:a14="http://schemas.microsoft.com/office/drawing/2010/main">
      <mc:Choice Requires="a14">
        <xdr:graphicFrame macro="">
          <xdr:nvGraphicFramePr>
            <xdr:cNvPr id="37" name="منصة البيع  1">
              <a:extLst>
                <a:ext uri="{FF2B5EF4-FFF2-40B4-BE49-F238E27FC236}">
                  <a16:creationId xmlns:a16="http://schemas.microsoft.com/office/drawing/2014/main" id="{F5833199-18B1-42D4-9B0C-5996D328F007}"/>
                </a:ext>
              </a:extLst>
            </xdr:cNvPr>
            <xdr:cNvGraphicFramePr/>
          </xdr:nvGraphicFramePr>
          <xdr:xfrm>
            <a:off x="0" y="0"/>
            <a:ext cx="0" cy="0"/>
          </xdr:xfrm>
          <a:graphic>
            <a:graphicData uri="http://schemas.microsoft.com/office/drawing/2010/slicer">
              <sle:slicer xmlns:sle="http://schemas.microsoft.com/office/drawing/2010/slicer" name="منصة البيع  1"/>
            </a:graphicData>
          </a:graphic>
        </xdr:graphicFrame>
      </mc:Choice>
      <mc:Fallback xmlns="">
        <xdr:sp macro="" textlink="">
          <xdr:nvSpPr>
            <xdr:cNvPr id="0" name=""/>
            <xdr:cNvSpPr>
              <a:spLocks noTextEdit="1"/>
            </xdr:cNvSpPr>
          </xdr:nvSpPr>
          <xdr:spPr>
            <a:xfrm>
              <a:off x="143933" y="3208866"/>
              <a:ext cx="2438400" cy="17610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553753</xdr:colOff>
      <xdr:row>4</xdr:row>
      <xdr:rowOff>50799</xdr:rowOff>
    </xdr:from>
    <xdr:to>
      <xdr:col>11</xdr:col>
      <xdr:colOff>385525</xdr:colOff>
      <xdr:row>8</xdr:row>
      <xdr:rowOff>84666</xdr:rowOff>
    </xdr:to>
    <xdr:sp macro="" textlink="">
      <xdr:nvSpPr>
        <xdr:cNvPr id="41" name="Rectangle: Rounded Corners 40">
          <a:extLst>
            <a:ext uri="{FF2B5EF4-FFF2-40B4-BE49-F238E27FC236}">
              <a16:creationId xmlns:a16="http://schemas.microsoft.com/office/drawing/2014/main" id="{0F4837E0-6CF0-42F6-8081-16069B6ECF04}"/>
            </a:ext>
          </a:extLst>
        </xdr:cNvPr>
        <xdr:cNvSpPr/>
      </xdr:nvSpPr>
      <xdr:spPr>
        <a:xfrm>
          <a:off x="5295086" y="829732"/>
          <a:ext cx="2541106" cy="812801"/>
        </a:xfrm>
        <a:prstGeom prst="roundRect">
          <a:avLst/>
        </a:prstGeom>
        <a:solidFill>
          <a:srgbClr val="F2F2F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b="1">
            <a:ln>
              <a:noFill/>
            </a:ln>
            <a:solidFill>
              <a:srgbClr val="192E59"/>
            </a:solidFill>
          </a:endParaRPr>
        </a:p>
      </xdr:txBody>
    </xdr:sp>
    <xdr:clientData/>
  </xdr:twoCellAnchor>
  <xdr:twoCellAnchor>
    <xdr:from>
      <xdr:col>8</xdr:col>
      <xdr:colOff>97368</xdr:colOff>
      <xdr:row>4</xdr:row>
      <xdr:rowOff>127000</xdr:rowOff>
    </xdr:from>
    <xdr:to>
      <xdr:col>11</xdr:col>
      <xdr:colOff>224366</xdr:colOff>
      <xdr:row>6</xdr:row>
      <xdr:rowOff>16933</xdr:rowOff>
    </xdr:to>
    <xdr:sp macro="" textlink="">
      <xdr:nvSpPr>
        <xdr:cNvPr id="45" name="Rectangle 44">
          <a:extLst>
            <a:ext uri="{FF2B5EF4-FFF2-40B4-BE49-F238E27FC236}">
              <a16:creationId xmlns:a16="http://schemas.microsoft.com/office/drawing/2014/main" id="{FCD87C9E-2ABF-420B-AD1C-CCBBC9F6BCAF}"/>
            </a:ext>
          </a:extLst>
        </xdr:cNvPr>
        <xdr:cNvSpPr/>
      </xdr:nvSpPr>
      <xdr:spPr>
        <a:xfrm>
          <a:off x="5516035" y="905933"/>
          <a:ext cx="2158998" cy="279400"/>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ar-EG" sz="2000" b="1">
              <a:ln>
                <a:noFill/>
              </a:ln>
              <a:solidFill>
                <a:srgbClr val="192E59"/>
              </a:solidFill>
              <a:latin typeface="+mn-lt"/>
              <a:ea typeface="+mn-ea"/>
              <a:cs typeface="+mn-cs"/>
            </a:rPr>
            <a:t>عدد الطلبات</a:t>
          </a:r>
          <a:endParaRPr lang="en-US" sz="2000" b="1">
            <a:ln>
              <a:noFill/>
            </a:ln>
            <a:solidFill>
              <a:srgbClr val="192E59"/>
            </a:solidFill>
            <a:latin typeface="+mn-lt"/>
            <a:ea typeface="+mn-ea"/>
            <a:cs typeface="+mn-cs"/>
          </a:endParaRPr>
        </a:p>
      </xdr:txBody>
    </xdr:sp>
    <xdr:clientData/>
  </xdr:twoCellAnchor>
  <xdr:twoCellAnchor>
    <xdr:from>
      <xdr:col>8</xdr:col>
      <xdr:colOff>93266</xdr:colOff>
      <xdr:row>6</xdr:row>
      <xdr:rowOff>118534</xdr:rowOff>
    </xdr:from>
    <xdr:to>
      <xdr:col>11</xdr:col>
      <xdr:colOff>228468</xdr:colOff>
      <xdr:row>8</xdr:row>
      <xdr:rowOff>8467</xdr:rowOff>
    </xdr:to>
    <xdr:sp macro="" textlink="BackEnd!G6">
      <xdr:nvSpPr>
        <xdr:cNvPr id="46" name="Rectangle 45">
          <a:extLst>
            <a:ext uri="{FF2B5EF4-FFF2-40B4-BE49-F238E27FC236}">
              <a16:creationId xmlns:a16="http://schemas.microsoft.com/office/drawing/2014/main" id="{2B322E06-73D5-4633-8C71-EE4D64E70652}"/>
            </a:ext>
          </a:extLst>
        </xdr:cNvPr>
        <xdr:cNvSpPr/>
      </xdr:nvSpPr>
      <xdr:spPr>
        <a:xfrm>
          <a:off x="5511933" y="1286934"/>
          <a:ext cx="2167202" cy="279400"/>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B329FF4-1EA0-436E-8A8C-A669BFDEDB78}" type="TxLink">
            <a:rPr lang="en-US" sz="1800" b="1" i="0" u="none" strike="noStrike">
              <a:ln>
                <a:noFill/>
              </a:ln>
              <a:solidFill>
                <a:srgbClr val="C00000"/>
              </a:solidFill>
              <a:latin typeface="Calibri"/>
              <a:ea typeface="+mn-ea"/>
              <a:cs typeface="Calibri"/>
            </a:rPr>
            <a:pPr marL="0" indent="0" algn="ctr"/>
            <a:t>112</a:t>
          </a:fld>
          <a:endParaRPr lang="en-US" sz="1800" b="1" i="0" u="none" strike="noStrike">
            <a:ln>
              <a:noFill/>
            </a:ln>
            <a:solidFill>
              <a:srgbClr val="C00000"/>
            </a:solidFill>
            <a:latin typeface="Calibri"/>
            <a:ea typeface="+mn-ea"/>
            <a:cs typeface="Calibri"/>
          </a:endParaRPr>
        </a:p>
      </xdr:txBody>
    </xdr:sp>
    <xdr:clientData/>
  </xdr:twoCellAnchor>
  <xdr:twoCellAnchor>
    <xdr:from>
      <xdr:col>11</xdr:col>
      <xdr:colOff>451013</xdr:colOff>
      <xdr:row>4</xdr:row>
      <xdr:rowOff>50799</xdr:rowOff>
    </xdr:from>
    <xdr:to>
      <xdr:col>15</xdr:col>
      <xdr:colOff>282786</xdr:colOff>
      <xdr:row>8</xdr:row>
      <xdr:rowOff>84666</xdr:rowOff>
    </xdr:to>
    <xdr:sp macro="" textlink="">
      <xdr:nvSpPr>
        <xdr:cNvPr id="43" name="Rectangle: Rounded Corners 42">
          <a:extLst>
            <a:ext uri="{FF2B5EF4-FFF2-40B4-BE49-F238E27FC236}">
              <a16:creationId xmlns:a16="http://schemas.microsoft.com/office/drawing/2014/main" id="{64D9C5B1-7E3F-493E-AD21-C92B60AFEC5F}"/>
            </a:ext>
          </a:extLst>
        </xdr:cNvPr>
        <xdr:cNvSpPr/>
      </xdr:nvSpPr>
      <xdr:spPr>
        <a:xfrm>
          <a:off x="7901680" y="829732"/>
          <a:ext cx="2541106" cy="812801"/>
        </a:xfrm>
        <a:prstGeom prst="roundRect">
          <a:avLst/>
        </a:prstGeom>
        <a:solidFill>
          <a:srgbClr val="F2F2F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b="1">
            <a:ln>
              <a:noFill/>
            </a:ln>
            <a:solidFill>
              <a:srgbClr val="192E59"/>
            </a:solidFill>
          </a:endParaRPr>
        </a:p>
      </xdr:txBody>
    </xdr:sp>
    <xdr:clientData/>
  </xdr:twoCellAnchor>
  <xdr:twoCellAnchor>
    <xdr:from>
      <xdr:col>11</xdr:col>
      <xdr:colOff>639235</xdr:colOff>
      <xdr:row>4</xdr:row>
      <xdr:rowOff>127001</xdr:rowOff>
    </xdr:from>
    <xdr:to>
      <xdr:col>15</xdr:col>
      <xdr:colOff>88900</xdr:colOff>
      <xdr:row>6</xdr:row>
      <xdr:rowOff>16934</xdr:rowOff>
    </xdr:to>
    <xdr:sp macro="" textlink="">
      <xdr:nvSpPr>
        <xdr:cNvPr id="47" name="Rectangle 46">
          <a:extLst>
            <a:ext uri="{FF2B5EF4-FFF2-40B4-BE49-F238E27FC236}">
              <a16:creationId xmlns:a16="http://schemas.microsoft.com/office/drawing/2014/main" id="{29580E5E-8D49-44BD-937C-3D94E3FFF3B2}"/>
            </a:ext>
          </a:extLst>
        </xdr:cNvPr>
        <xdr:cNvSpPr/>
      </xdr:nvSpPr>
      <xdr:spPr>
        <a:xfrm>
          <a:off x="8089902" y="905934"/>
          <a:ext cx="2158998" cy="279400"/>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ar-EG" sz="1800" b="1">
              <a:ln>
                <a:noFill/>
              </a:ln>
              <a:solidFill>
                <a:srgbClr val="192E59"/>
              </a:solidFill>
              <a:latin typeface="+mn-lt"/>
              <a:ea typeface="+mn-ea"/>
              <a:cs typeface="+mn-cs"/>
            </a:rPr>
            <a:t>متوسط سعر البيع</a:t>
          </a:r>
          <a:endParaRPr lang="en-US" sz="1800" b="1">
            <a:ln>
              <a:noFill/>
            </a:ln>
            <a:solidFill>
              <a:srgbClr val="192E59"/>
            </a:solidFill>
            <a:latin typeface="+mn-lt"/>
            <a:ea typeface="+mn-ea"/>
            <a:cs typeface="+mn-cs"/>
          </a:endParaRPr>
        </a:p>
        <a:p>
          <a:pPr marL="0" indent="0" algn="ctr"/>
          <a:endParaRPr lang="en-US" sz="1800" b="1">
            <a:ln>
              <a:noFill/>
            </a:ln>
            <a:solidFill>
              <a:srgbClr val="192E59"/>
            </a:solidFill>
            <a:latin typeface="+mn-lt"/>
            <a:ea typeface="+mn-ea"/>
            <a:cs typeface="+mn-cs"/>
          </a:endParaRPr>
        </a:p>
      </xdr:txBody>
    </xdr:sp>
    <xdr:clientData/>
  </xdr:twoCellAnchor>
  <xdr:twoCellAnchor>
    <xdr:from>
      <xdr:col>11</xdr:col>
      <xdr:colOff>635133</xdr:colOff>
      <xdr:row>6</xdr:row>
      <xdr:rowOff>118535</xdr:rowOff>
    </xdr:from>
    <xdr:to>
      <xdr:col>15</xdr:col>
      <xdr:colOff>93002</xdr:colOff>
      <xdr:row>8</xdr:row>
      <xdr:rowOff>8468</xdr:rowOff>
    </xdr:to>
    <xdr:sp macro="" textlink="BackEnd!K6">
      <xdr:nvSpPr>
        <xdr:cNvPr id="48" name="Rectangle 47">
          <a:extLst>
            <a:ext uri="{FF2B5EF4-FFF2-40B4-BE49-F238E27FC236}">
              <a16:creationId xmlns:a16="http://schemas.microsoft.com/office/drawing/2014/main" id="{51534FA3-8ADF-4435-8ED8-E040116CCCF5}"/>
            </a:ext>
          </a:extLst>
        </xdr:cNvPr>
        <xdr:cNvSpPr/>
      </xdr:nvSpPr>
      <xdr:spPr>
        <a:xfrm>
          <a:off x="8085800" y="1286935"/>
          <a:ext cx="2167202" cy="279400"/>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272C903-C686-4DAB-8315-99B3AD4DDD3F}" type="TxLink">
            <a:rPr lang="en-US" sz="1800" b="1" i="0" u="none" strike="noStrike">
              <a:ln>
                <a:noFill/>
              </a:ln>
              <a:solidFill>
                <a:srgbClr val="C00000"/>
              </a:solidFill>
              <a:latin typeface="Calibri"/>
              <a:ea typeface="+mn-ea"/>
              <a:cs typeface="Calibri"/>
            </a:rPr>
            <a:pPr marL="0" indent="0" algn="ctr"/>
            <a:t> 10,408 </a:t>
          </a:fld>
          <a:endParaRPr lang="en-US" sz="1800" b="1" i="0" u="none" strike="noStrike">
            <a:ln>
              <a:noFill/>
            </a:ln>
            <a:solidFill>
              <a:srgbClr val="C00000"/>
            </a:solidFill>
            <a:latin typeface="Calibri"/>
            <a:ea typeface="+mn-ea"/>
            <a:cs typeface="Calibri"/>
          </a:endParaRPr>
        </a:p>
      </xdr:txBody>
    </xdr:sp>
    <xdr:clientData/>
  </xdr:twoCellAnchor>
  <xdr:twoCellAnchor>
    <xdr:from>
      <xdr:col>15</xdr:col>
      <xdr:colOff>348274</xdr:colOff>
      <xdr:row>4</xdr:row>
      <xdr:rowOff>50799</xdr:rowOff>
    </xdr:from>
    <xdr:to>
      <xdr:col>19</xdr:col>
      <xdr:colOff>180047</xdr:colOff>
      <xdr:row>8</xdr:row>
      <xdr:rowOff>84666</xdr:rowOff>
    </xdr:to>
    <xdr:sp macro="" textlink="">
      <xdr:nvSpPr>
        <xdr:cNvPr id="44" name="Rectangle: Rounded Corners 43">
          <a:extLst>
            <a:ext uri="{FF2B5EF4-FFF2-40B4-BE49-F238E27FC236}">
              <a16:creationId xmlns:a16="http://schemas.microsoft.com/office/drawing/2014/main" id="{2F87DE83-8515-4EE8-AACB-D428C77DF235}"/>
            </a:ext>
          </a:extLst>
        </xdr:cNvPr>
        <xdr:cNvSpPr/>
      </xdr:nvSpPr>
      <xdr:spPr>
        <a:xfrm>
          <a:off x="10508274" y="829732"/>
          <a:ext cx="2541106" cy="812801"/>
        </a:xfrm>
        <a:prstGeom prst="roundRect">
          <a:avLst/>
        </a:prstGeom>
        <a:solidFill>
          <a:srgbClr val="F2F2F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b="1">
            <a:ln>
              <a:noFill/>
            </a:ln>
            <a:solidFill>
              <a:srgbClr val="192E59"/>
            </a:solidFill>
          </a:endParaRPr>
        </a:p>
      </xdr:txBody>
    </xdr:sp>
    <xdr:clientData/>
  </xdr:twoCellAnchor>
  <xdr:twoCellAnchor>
    <xdr:from>
      <xdr:col>15</xdr:col>
      <xdr:colOff>571502</xdr:colOff>
      <xdr:row>4</xdr:row>
      <xdr:rowOff>118535</xdr:rowOff>
    </xdr:from>
    <xdr:to>
      <xdr:col>19</xdr:col>
      <xdr:colOff>21167</xdr:colOff>
      <xdr:row>6</xdr:row>
      <xdr:rowOff>8468</xdr:rowOff>
    </xdr:to>
    <xdr:sp macro="" textlink="">
      <xdr:nvSpPr>
        <xdr:cNvPr id="49" name="Rectangle 48">
          <a:extLst>
            <a:ext uri="{FF2B5EF4-FFF2-40B4-BE49-F238E27FC236}">
              <a16:creationId xmlns:a16="http://schemas.microsoft.com/office/drawing/2014/main" id="{E4096B2E-C0C9-46CF-9080-86148D8CDCD8}"/>
            </a:ext>
          </a:extLst>
        </xdr:cNvPr>
        <xdr:cNvSpPr/>
      </xdr:nvSpPr>
      <xdr:spPr>
        <a:xfrm>
          <a:off x="10731502" y="897468"/>
          <a:ext cx="2158998" cy="279400"/>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ar-EG" sz="2000" b="1" i="0" u="none" strike="noStrike" kern="0" cap="none" spc="0" normalizeH="0" baseline="0" noProof="0">
              <a:ln>
                <a:noFill/>
              </a:ln>
              <a:solidFill>
                <a:srgbClr val="192E59"/>
              </a:solidFill>
              <a:effectLst/>
              <a:uLnTx/>
              <a:uFillTx/>
              <a:latin typeface="+mn-lt"/>
              <a:ea typeface="+mn-ea"/>
              <a:cs typeface="+mn-cs"/>
            </a:rPr>
            <a:t>أكثر الألوان مبيعاً</a:t>
          </a:r>
          <a:endParaRPr kumimoji="0" lang="en-US" sz="1800" b="1" i="0" u="none" strike="noStrike" kern="0" cap="none" spc="0" normalizeH="0" baseline="0" noProof="0">
            <a:ln>
              <a:noFill/>
            </a:ln>
            <a:solidFill>
              <a:srgbClr val="192E59"/>
            </a:solidFill>
            <a:effectLst/>
            <a:uLnTx/>
            <a:uFillTx/>
            <a:latin typeface="+mn-lt"/>
            <a:ea typeface="+mn-ea"/>
            <a:cs typeface="+mn-cs"/>
          </a:endParaRPr>
        </a:p>
      </xdr:txBody>
    </xdr:sp>
    <xdr:clientData/>
  </xdr:twoCellAnchor>
  <xdr:twoCellAnchor>
    <xdr:from>
      <xdr:col>15</xdr:col>
      <xdr:colOff>567400</xdr:colOff>
      <xdr:row>6</xdr:row>
      <xdr:rowOff>110069</xdr:rowOff>
    </xdr:from>
    <xdr:to>
      <xdr:col>19</xdr:col>
      <xdr:colOff>25269</xdr:colOff>
      <xdr:row>8</xdr:row>
      <xdr:rowOff>2</xdr:rowOff>
    </xdr:to>
    <xdr:sp macro="" textlink="BackEnd!Y10">
      <xdr:nvSpPr>
        <xdr:cNvPr id="50" name="Rectangle 49">
          <a:extLst>
            <a:ext uri="{FF2B5EF4-FFF2-40B4-BE49-F238E27FC236}">
              <a16:creationId xmlns:a16="http://schemas.microsoft.com/office/drawing/2014/main" id="{0B90E357-F55B-421F-B4A6-2F9B10A7C2F5}"/>
            </a:ext>
          </a:extLst>
        </xdr:cNvPr>
        <xdr:cNvSpPr/>
      </xdr:nvSpPr>
      <xdr:spPr>
        <a:xfrm>
          <a:off x="10727400" y="1278469"/>
          <a:ext cx="2167202" cy="279400"/>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FBB5B0A-2D94-4CB4-947A-61F12ED7CC63}" type="TxLink">
            <a:rPr lang="ar-EG" sz="1800" b="1" i="0" u="none" strike="noStrike">
              <a:ln>
                <a:noFill/>
              </a:ln>
              <a:solidFill>
                <a:srgbClr val="C00000"/>
              </a:solidFill>
              <a:latin typeface="Calibri"/>
              <a:ea typeface="+mn-ea"/>
              <a:cs typeface="Calibri"/>
            </a:rPr>
            <a:pPr marL="0" indent="0" algn="ctr"/>
            <a:t>اسود</a:t>
          </a:fld>
          <a:endParaRPr lang="en-US" sz="1800" b="1" i="0" u="none" strike="noStrike">
            <a:ln>
              <a:noFill/>
            </a:ln>
            <a:solidFill>
              <a:srgbClr val="C00000"/>
            </a:solidFill>
            <a:latin typeface="Calibri"/>
            <a:ea typeface="+mn-ea"/>
            <a:cs typeface="Calibri"/>
          </a:endParaRPr>
        </a:p>
      </xdr:txBody>
    </xdr:sp>
    <xdr:clientData/>
  </xdr:twoCellAnchor>
  <xdr:twoCellAnchor>
    <xdr:from>
      <xdr:col>19</xdr:col>
      <xdr:colOff>245534</xdr:colOff>
      <xdr:row>4</xdr:row>
      <xdr:rowOff>50799</xdr:rowOff>
    </xdr:from>
    <xdr:to>
      <xdr:col>23</xdr:col>
      <xdr:colOff>127000</xdr:colOff>
      <xdr:row>8</xdr:row>
      <xdr:rowOff>84666</xdr:rowOff>
    </xdr:to>
    <xdr:sp macro="" textlink="">
      <xdr:nvSpPr>
        <xdr:cNvPr id="42" name="Rectangle: Rounded Corners 41">
          <a:extLst>
            <a:ext uri="{FF2B5EF4-FFF2-40B4-BE49-F238E27FC236}">
              <a16:creationId xmlns:a16="http://schemas.microsoft.com/office/drawing/2014/main" id="{2436A671-0C05-4338-A063-29C9CDDC17F4}"/>
            </a:ext>
          </a:extLst>
        </xdr:cNvPr>
        <xdr:cNvSpPr/>
      </xdr:nvSpPr>
      <xdr:spPr>
        <a:xfrm>
          <a:off x="13114867" y="829732"/>
          <a:ext cx="2590800" cy="812801"/>
        </a:xfrm>
        <a:prstGeom prst="roundRect">
          <a:avLst/>
        </a:prstGeom>
        <a:solidFill>
          <a:srgbClr val="F2F2F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b="1">
            <a:ln>
              <a:noFill/>
            </a:ln>
            <a:solidFill>
              <a:srgbClr val="192E59"/>
            </a:solidFill>
          </a:endParaRPr>
        </a:p>
      </xdr:txBody>
    </xdr:sp>
    <xdr:clientData/>
  </xdr:twoCellAnchor>
  <xdr:twoCellAnchor>
    <xdr:from>
      <xdr:col>19</xdr:col>
      <xdr:colOff>296334</xdr:colOff>
      <xdr:row>4</xdr:row>
      <xdr:rowOff>160868</xdr:rowOff>
    </xdr:from>
    <xdr:to>
      <xdr:col>23</xdr:col>
      <xdr:colOff>118533</xdr:colOff>
      <xdr:row>6</xdr:row>
      <xdr:rowOff>50801</xdr:rowOff>
    </xdr:to>
    <xdr:sp macro="" textlink="">
      <xdr:nvSpPr>
        <xdr:cNvPr id="51" name="Rectangle 50">
          <a:extLst>
            <a:ext uri="{FF2B5EF4-FFF2-40B4-BE49-F238E27FC236}">
              <a16:creationId xmlns:a16="http://schemas.microsoft.com/office/drawing/2014/main" id="{FB96A5CB-8A22-4BD1-BC6E-46F723387533}"/>
            </a:ext>
          </a:extLst>
        </xdr:cNvPr>
        <xdr:cNvSpPr/>
      </xdr:nvSpPr>
      <xdr:spPr>
        <a:xfrm>
          <a:off x="13165667" y="939801"/>
          <a:ext cx="2531533" cy="279400"/>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ar-EG" sz="1800" b="1" noProof="0">
              <a:ln>
                <a:noFill/>
              </a:ln>
              <a:solidFill>
                <a:srgbClr val="192E59"/>
              </a:solidFill>
              <a:latin typeface="+mn-lt"/>
              <a:ea typeface="+mn-ea"/>
              <a:cs typeface="+mn-cs"/>
            </a:rPr>
            <a:t>عدد الشركات والأفراد</a:t>
          </a:r>
          <a:endParaRPr lang="en-US" sz="1800" b="1" noProof="0">
            <a:ln>
              <a:noFill/>
            </a:ln>
            <a:solidFill>
              <a:srgbClr val="192E59"/>
            </a:solidFill>
            <a:latin typeface="+mn-lt"/>
            <a:ea typeface="+mn-ea"/>
            <a:cs typeface="+mn-cs"/>
          </a:endParaRPr>
        </a:p>
      </xdr:txBody>
    </xdr:sp>
    <xdr:clientData/>
  </xdr:twoCellAnchor>
  <xdr:twoCellAnchor>
    <xdr:from>
      <xdr:col>19</xdr:col>
      <xdr:colOff>478499</xdr:colOff>
      <xdr:row>6</xdr:row>
      <xdr:rowOff>135469</xdr:rowOff>
    </xdr:from>
    <xdr:to>
      <xdr:col>22</xdr:col>
      <xdr:colOff>613701</xdr:colOff>
      <xdr:row>8</xdr:row>
      <xdr:rowOff>25402</xdr:rowOff>
    </xdr:to>
    <xdr:sp macro="" textlink="BackEnd!AP82">
      <xdr:nvSpPr>
        <xdr:cNvPr id="52" name="Rectangle 51">
          <a:extLst>
            <a:ext uri="{FF2B5EF4-FFF2-40B4-BE49-F238E27FC236}">
              <a16:creationId xmlns:a16="http://schemas.microsoft.com/office/drawing/2014/main" id="{3FA6A11B-10C6-4D03-9C50-16D2D795A68F}"/>
            </a:ext>
          </a:extLst>
        </xdr:cNvPr>
        <xdr:cNvSpPr/>
      </xdr:nvSpPr>
      <xdr:spPr>
        <a:xfrm>
          <a:off x="13347832" y="1303869"/>
          <a:ext cx="2167202" cy="279400"/>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B4F3D35-01EA-4DE7-90D5-F1C1E2602E72}" type="TxLink">
            <a:rPr lang="en-US" sz="1800" b="1" i="0" u="none" strike="noStrike">
              <a:ln>
                <a:noFill/>
              </a:ln>
              <a:solidFill>
                <a:srgbClr val="C00000"/>
              </a:solidFill>
              <a:latin typeface="Calibri"/>
              <a:ea typeface="+mn-ea"/>
              <a:cs typeface="Calibri"/>
            </a:rPr>
            <a:pPr marL="0" indent="0" algn="ctr"/>
            <a:t>76</a:t>
          </a:fld>
          <a:endParaRPr lang="en-US" sz="1800" b="1" i="0" u="none" strike="noStrike">
            <a:ln>
              <a:noFill/>
            </a:ln>
            <a:solidFill>
              <a:srgbClr val="C00000"/>
            </a:solidFill>
            <a:latin typeface="Calibri"/>
            <a:ea typeface="+mn-ea"/>
            <a:cs typeface="Calibri"/>
          </a:endParaRPr>
        </a:p>
      </xdr:txBody>
    </xdr:sp>
    <xdr:clientData/>
  </xdr:twoCellAnchor>
  <xdr:twoCellAnchor>
    <xdr:from>
      <xdr:col>0</xdr:col>
      <xdr:colOff>135466</xdr:colOff>
      <xdr:row>25</xdr:row>
      <xdr:rowOff>152400</xdr:rowOff>
    </xdr:from>
    <xdr:to>
      <xdr:col>1</xdr:col>
      <xdr:colOff>651934</xdr:colOff>
      <xdr:row>27</xdr:row>
      <xdr:rowOff>84667</xdr:rowOff>
    </xdr:to>
    <xdr:sp macro="" textlink="">
      <xdr:nvSpPr>
        <xdr:cNvPr id="60" name="Rectangle: Rounded Corners 59">
          <a:hlinkClick xmlns:r="http://schemas.openxmlformats.org/officeDocument/2006/relationships" r:id="rId3"/>
          <a:extLst>
            <a:ext uri="{FF2B5EF4-FFF2-40B4-BE49-F238E27FC236}">
              <a16:creationId xmlns:a16="http://schemas.microsoft.com/office/drawing/2014/main" id="{E47F5E68-EEED-447D-8D79-D273A8C76104}"/>
            </a:ext>
          </a:extLst>
        </xdr:cNvPr>
        <xdr:cNvSpPr/>
      </xdr:nvSpPr>
      <xdr:spPr>
        <a:xfrm>
          <a:off x="135466" y="5020733"/>
          <a:ext cx="1193801" cy="321734"/>
        </a:xfrm>
        <a:prstGeom prst="round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1A294D"/>
              </a:solidFill>
            </a:rPr>
            <a:t>Data Sheet</a:t>
          </a:r>
          <a:endParaRPr lang="en-US" sz="1100" b="1">
            <a:solidFill>
              <a:srgbClr val="1A294D"/>
            </a:solidFill>
          </a:endParaRPr>
        </a:p>
      </xdr:txBody>
    </xdr:sp>
    <xdr:clientData/>
  </xdr:twoCellAnchor>
  <xdr:twoCellAnchor>
    <xdr:from>
      <xdr:col>2</xdr:col>
      <xdr:colOff>25399</xdr:colOff>
      <xdr:row>25</xdr:row>
      <xdr:rowOff>152400</xdr:rowOff>
    </xdr:from>
    <xdr:to>
      <xdr:col>3</xdr:col>
      <xdr:colOff>541867</xdr:colOff>
      <xdr:row>27</xdr:row>
      <xdr:rowOff>84667</xdr:rowOff>
    </xdr:to>
    <xdr:sp macro="[0]!ClearFilter" textlink="">
      <xdr:nvSpPr>
        <xdr:cNvPr id="61" name="Rectangle: Rounded Corners 60">
          <a:extLst>
            <a:ext uri="{FF2B5EF4-FFF2-40B4-BE49-F238E27FC236}">
              <a16:creationId xmlns:a16="http://schemas.microsoft.com/office/drawing/2014/main" id="{DB2D8168-AE40-406D-A4E0-62BB93D13BBD}"/>
            </a:ext>
          </a:extLst>
        </xdr:cNvPr>
        <xdr:cNvSpPr/>
      </xdr:nvSpPr>
      <xdr:spPr>
        <a:xfrm>
          <a:off x="1380066" y="5020733"/>
          <a:ext cx="1193801" cy="321734"/>
        </a:xfrm>
        <a:prstGeom prst="round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1A294D"/>
              </a:solidFill>
            </a:rPr>
            <a:t>Clear</a:t>
          </a:r>
          <a:r>
            <a:rPr lang="en-US" sz="1600" b="1" baseline="0">
              <a:solidFill>
                <a:srgbClr val="1A294D"/>
              </a:solidFill>
            </a:rPr>
            <a:t> Filter</a:t>
          </a:r>
          <a:endParaRPr lang="en-US" sz="1100" b="1">
            <a:solidFill>
              <a:srgbClr val="1A294D"/>
            </a:solidFill>
          </a:endParaRPr>
        </a:p>
      </xdr:txBody>
    </xdr:sp>
    <xdr:clientData/>
  </xdr:twoCellAnchor>
  <xdr:twoCellAnchor>
    <xdr:from>
      <xdr:col>3</xdr:col>
      <xdr:colOff>637583</xdr:colOff>
      <xdr:row>20</xdr:row>
      <xdr:rowOff>67734</xdr:rowOff>
    </xdr:from>
    <xdr:to>
      <xdr:col>13</xdr:col>
      <xdr:colOff>363236</xdr:colOff>
      <xdr:row>30</xdr:row>
      <xdr:rowOff>50800</xdr:rowOff>
    </xdr:to>
    <xdr:grpSp>
      <xdr:nvGrpSpPr>
        <xdr:cNvPr id="6" name="Group 5">
          <a:extLst>
            <a:ext uri="{FF2B5EF4-FFF2-40B4-BE49-F238E27FC236}">
              <a16:creationId xmlns:a16="http://schemas.microsoft.com/office/drawing/2014/main" id="{00289D8B-84C2-42EE-B196-F6DB0E2A09CF}"/>
            </a:ext>
          </a:extLst>
        </xdr:cNvPr>
        <xdr:cNvGrpSpPr/>
      </xdr:nvGrpSpPr>
      <xdr:grpSpPr>
        <a:xfrm>
          <a:off x="2669583" y="3962401"/>
          <a:ext cx="6498986" cy="1930399"/>
          <a:chOff x="2669583" y="3962401"/>
          <a:chExt cx="6498986" cy="1930399"/>
        </a:xfrm>
      </xdr:grpSpPr>
      <xdr:sp macro="" textlink="">
        <xdr:nvSpPr>
          <xdr:cNvPr id="66" name="Rectangle: Rounded Corners 65">
            <a:extLst>
              <a:ext uri="{FF2B5EF4-FFF2-40B4-BE49-F238E27FC236}">
                <a16:creationId xmlns:a16="http://schemas.microsoft.com/office/drawing/2014/main" id="{B6B2AC22-BC77-44B7-881C-2A22992FE8B5}"/>
              </a:ext>
            </a:extLst>
          </xdr:cNvPr>
          <xdr:cNvSpPr/>
        </xdr:nvSpPr>
        <xdr:spPr>
          <a:xfrm>
            <a:off x="2669583" y="3962401"/>
            <a:ext cx="6498986" cy="1930399"/>
          </a:xfrm>
          <a:prstGeom prst="roundRect">
            <a:avLst>
              <a:gd name="adj" fmla="val 6140"/>
            </a:avLst>
          </a:prstGeom>
          <a:solidFill>
            <a:srgbClr val="F2F2F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graphicFrame macro="">
        <xdr:nvGraphicFramePr>
          <xdr:cNvPr id="62" name="Chart 61">
            <a:extLst>
              <a:ext uri="{FF2B5EF4-FFF2-40B4-BE49-F238E27FC236}">
                <a16:creationId xmlns:a16="http://schemas.microsoft.com/office/drawing/2014/main" id="{E34D47A9-A178-4615-AE2E-EC5F62D50E4C}"/>
              </a:ext>
            </a:extLst>
          </xdr:cNvPr>
          <xdr:cNvGraphicFramePr>
            <a:graphicFrameLocks/>
          </xdr:cNvGraphicFramePr>
        </xdr:nvGraphicFramePr>
        <xdr:xfrm>
          <a:off x="2912533" y="4021667"/>
          <a:ext cx="6019800" cy="1786465"/>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13</xdr:col>
      <xdr:colOff>409815</xdr:colOff>
      <xdr:row>20</xdr:row>
      <xdr:rowOff>67734</xdr:rowOff>
    </xdr:from>
    <xdr:to>
      <xdr:col>23</xdr:col>
      <xdr:colOff>135467</xdr:colOff>
      <xdr:row>30</xdr:row>
      <xdr:rowOff>50800</xdr:rowOff>
    </xdr:to>
    <xdr:grpSp>
      <xdr:nvGrpSpPr>
        <xdr:cNvPr id="7" name="Group 6">
          <a:extLst>
            <a:ext uri="{FF2B5EF4-FFF2-40B4-BE49-F238E27FC236}">
              <a16:creationId xmlns:a16="http://schemas.microsoft.com/office/drawing/2014/main" id="{F4CE127C-D0EE-4A7C-8CA1-C1DACC729A31}"/>
            </a:ext>
          </a:extLst>
        </xdr:cNvPr>
        <xdr:cNvGrpSpPr/>
      </xdr:nvGrpSpPr>
      <xdr:grpSpPr>
        <a:xfrm>
          <a:off x="9215148" y="3962401"/>
          <a:ext cx="6498986" cy="1930399"/>
          <a:chOff x="9215148" y="3962401"/>
          <a:chExt cx="6498986" cy="1930399"/>
        </a:xfrm>
      </xdr:grpSpPr>
      <xdr:sp macro="" textlink="">
        <xdr:nvSpPr>
          <xdr:cNvPr id="69" name="Rectangle: Rounded Corners 68">
            <a:extLst>
              <a:ext uri="{FF2B5EF4-FFF2-40B4-BE49-F238E27FC236}">
                <a16:creationId xmlns:a16="http://schemas.microsoft.com/office/drawing/2014/main" id="{88CB26DC-5D2B-4A1C-9CA0-AEA1AC11859F}"/>
              </a:ext>
            </a:extLst>
          </xdr:cNvPr>
          <xdr:cNvSpPr/>
        </xdr:nvSpPr>
        <xdr:spPr>
          <a:xfrm>
            <a:off x="9215148" y="3962401"/>
            <a:ext cx="6498986" cy="1930399"/>
          </a:xfrm>
          <a:prstGeom prst="roundRect">
            <a:avLst>
              <a:gd name="adj" fmla="val 5264"/>
            </a:avLst>
          </a:prstGeom>
          <a:solidFill>
            <a:srgbClr val="F2F2F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graphicFrame macro="">
        <xdr:nvGraphicFramePr>
          <xdr:cNvPr id="63" name="Chart 62">
            <a:extLst>
              <a:ext uri="{FF2B5EF4-FFF2-40B4-BE49-F238E27FC236}">
                <a16:creationId xmlns:a16="http://schemas.microsoft.com/office/drawing/2014/main" id="{728F6EF1-AE16-44A9-9FC6-CEA041C8D41B}"/>
              </a:ext>
            </a:extLst>
          </xdr:cNvPr>
          <xdr:cNvGraphicFramePr>
            <a:graphicFrameLocks/>
          </xdr:cNvGraphicFramePr>
        </xdr:nvGraphicFramePr>
        <xdr:xfrm>
          <a:off x="9482667" y="4021666"/>
          <a:ext cx="6011332" cy="1786467"/>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10</xdr:col>
      <xdr:colOff>287315</xdr:colOff>
      <xdr:row>8</xdr:row>
      <xdr:rowOff>127000</xdr:rowOff>
    </xdr:from>
    <xdr:to>
      <xdr:col>16</xdr:col>
      <xdr:colOff>507447</xdr:colOff>
      <xdr:row>20</xdr:row>
      <xdr:rowOff>33867</xdr:rowOff>
    </xdr:to>
    <xdr:grpSp>
      <xdr:nvGrpSpPr>
        <xdr:cNvPr id="13" name="Group 12">
          <a:extLst>
            <a:ext uri="{FF2B5EF4-FFF2-40B4-BE49-F238E27FC236}">
              <a16:creationId xmlns:a16="http://schemas.microsoft.com/office/drawing/2014/main" id="{0A74A2CB-1E17-4D7D-966D-0FF9E135ECAA}"/>
            </a:ext>
          </a:extLst>
        </xdr:cNvPr>
        <xdr:cNvGrpSpPr/>
      </xdr:nvGrpSpPr>
      <xdr:grpSpPr>
        <a:xfrm>
          <a:off x="7060648" y="1684867"/>
          <a:ext cx="4284132" cy="2243667"/>
          <a:chOff x="7060648" y="1684867"/>
          <a:chExt cx="4284132" cy="2243667"/>
        </a:xfrm>
      </xdr:grpSpPr>
      <xdr:sp macro="" textlink="">
        <xdr:nvSpPr>
          <xdr:cNvPr id="55" name="Rectangle: Rounded Corners 54">
            <a:extLst>
              <a:ext uri="{FF2B5EF4-FFF2-40B4-BE49-F238E27FC236}">
                <a16:creationId xmlns:a16="http://schemas.microsoft.com/office/drawing/2014/main" id="{AAF3B26F-51AB-4EFF-8ECE-42EB30CEF180}"/>
              </a:ext>
            </a:extLst>
          </xdr:cNvPr>
          <xdr:cNvSpPr/>
        </xdr:nvSpPr>
        <xdr:spPr>
          <a:xfrm>
            <a:off x="7060648" y="1684867"/>
            <a:ext cx="4284132" cy="2243667"/>
          </a:xfrm>
          <a:prstGeom prst="roundRect">
            <a:avLst>
              <a:gd name="adj" fmla="val 5724"/>
            </a:avLst>
          </a:prstGeom>
          <a:solidFill>
            <a:srgbClr val="F2F2F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graphicFrame macro="">
        <xdr:nvGraphicFramePr>
          <xdr:cNvPr id="64" name="Chart 63">
            <a:extLst>
              <a:ext uri="{FF2B5EF4-FFF2-40B4-BE49-F238E27FC236}">
                <a16:creationId xmlns:a16="http://schemas.microsoft.com/office/drawing/2014/main" id="{FD4288B8-C734-44DF-BA06-770037B9BC64}"/>
              </a:ext>
            </a:extLst>
          </xdr:cNvPr>
          <xdr:cNvGraphicFramePr>
            <a:graphicFrameLocks/>
          </xdr:cNvGraphicFramePr>
        </xdr:nvGraphicFramePr>
        <xdr:xfrm>
          <a:off x="7281331" y="1761067"/>
          <a:ext cx="3869267" cy="205740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16</xdr:col>
      <xdr:colOff>584203</xdr:colOff>
      <xdr:row>8</xdr:row>
      <xdr:rowOff>127000</xdr:rowOff>
    </xdr:from>
    <xdr:to>
      <xdr:col>23</xdr:col>
      <xdr:colOff>127001</xdr:colOff>
      <xdr:row>20</xdr:row>
      <xdr:rowOff>33867</xdr:rowOff>
    </xdr:to>
    <xdr:grpSp>
      <xdr:nvGrpSpPr>
        <xdr:cNvPr id="8" name="Group 7">
          <a:extLst>
            <a:ext uri="{FF2B5EF4-FFF2-40B4-BE49-F238E27FC236}">
              <a16:creationId xmlns:a16="http://schemas.microsoft.com/office/drawing/2014/main" id="{21FDACE5-A5DC-4B44-8D66-67345150B492}"/>
            </a:ext>
          </a:extLst>
        </xdr:cNvPr>
        <xdr:cNvGrpSpPr/>
      </xdr:nvGrpSpPr>
      <xdr:grpSpPr>
        <a:xfrm>
          <a:off x="11421536" y="1684867"/>
          <a:ext cx="4284132" cy="2243667"/>
          <a:chOff x="11421536" y="1684867"/>
          <a:chExt cx="4284132" cy="2243667"/>
        </a:xfrm>
      </xdr:grpSpPr>
      <xdr:sp macro="" textlink="">
        <xdr:nvSpPr>
          <xdr:cNvPr id="58" name="Rectangle: Rounded Corners 57">
            <a:extLst>
              <a:ext uri="{FF2B5EF4-FFF2-40B4-BE49-F238E27FC236}">
                <a16:creationId xmlns:a16="http://schemas.microsoft.com/office/drawing/2014/main" id="{B7DCA7F5-FDAA-4109-9BAA-303B9CA212AD}"/>
              </a:ext>
            </a:extLst>
          </xdr:cNvPr>
          <xdr:cNvSpPr/>
        </xdr:nvSpPr>
        <xdr:spPr>
          <a:xfrm>
            <a:off x="11421536" y="1684867"/>
            <a:ext cx="4284132" cy="2243667"/>
          </a:xfrm>
          <a:prstGeom prst="roundRect">
            <a:avLst>
              <a:gd name="adj" fmla="val 5346"/>
            </a:avLst>
          </a:prstGeom>
          <a:solidFill>
            <a:srgbClr val="F2F2F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graphicFrame macro="">
        <xdr:nvGraphicFramePr>
          <xdr:cNvPr id="74" name="Chart 73">
            <a:extLst>
              <a:ext uri="{FF2B5EF4-FFF2-40B4-BE49-F238E27FC236}">
                <a16:creationId xmlns:a16="http://schemas.microsoft.com/office/drawing/2014/main" id="{E7074563-864C-4DAC-9BF9-03FEA5D4F620}"/>
              </a:ext>
            </a:extLst>
          </xdr:cNvPr>
          <xdr:cNvGraphicFramePr>
            <a:graphicFrameLocks/>
          </xdr:cNvGraphicFramePr>
        </xdr:nvGraphicFramePr>
        <xdr:xfrm>
          <a:off x="11734801" y="1744135"/>
          <a:ext cx="3750731" cy="2091266"/>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stafa" refreshedDate="46024.943603240739" backgroundQuery="1" createdVersion="7" refreshedVersion="7" minRefreshableVersion="3" recordCount="0" supportSubquery="1" supportAdvancedDrill="1" xr:uid="{E726A8C3-F656-4EA4-8A42-AF9021C2B025}">
  <cacheSource type="external" connectionId="1"/>
  <cacheFields count="2">
    <cacheField name="[Table1].[أسم العميل].[أسم العميل]" caption="أسم العميل" numFmtId="0" hierarchy="3" level="1">
      <sharedItems count="76">
        <s v="ellho elkafy"/>
        <s v="keira"/>
        <s v="Mohamed Ayman"/>
        <s v="mohannad"/>
        <s v="reem"/>
        <s v="tarek"/>
        <s v="yilmaz"/>
        <s v="احمد"/>
        <s v="احمد ايمن"/>
        <s v="احمد خالد"/>
        <s v="احمد عبد الستار"/>
        <s v="احمد فخرى"/>
        <s v="اسامه"/>
        <s v="اسراء ابراهيم"/>
        <s v="اسراء ابو العنين"/>
        <s v="الحج محمد السويس"/>
        <s v="اوسكار راتن"/>
        <s v="اياد"/>
        <s v="بافلى هانى"/>
        <s v="بسام الشربينى"/>
        <s v="بولا هومزمارت"/>
        <s v="تاكى"/>
        <s v="تامر"/>
        <s v="حاتم العيسوي"/>
        <s v="حسام عبدون"/>
        <s v="حسن حازم"/>
        <s v="حسن مغرب"/>
        <s v="حماده"/>
        <s v="حمدى ذكرى"/>
        <s v="خالد عبد القوى"/>
        <s v="ديفد بهجت"/>
        <s v="رامى"/>
        <s v="رحاب"/>
        <s v="رنا"/>
        <s v="رنا ميلاد"/>
        <s v="رندا العامرى"/>
        <s v="زينا"/>
        <s v="ساره"/>
        <s v="ساره وجيه"/>
        <s v="ساندرا"/>
        <s v="سعيد"/>
        <s v="شيك هومز"/>
        <s v="صفاء"/>
        <s v="صفاء الحكيم"/>
        <s v="صفاء عبد الباقي"/>
        <s v="طارق كمال"/>
        <s v="عبد الرحمن يسري"/>
        <s v="عبد الله سيد"/>
        <s v="عبير نور الدين"/>
        <s v="على السيد"/>
        <s v="على رشوان"/>
        <s v="عمرو الأسود"/>
        <s v="فاطمه محمد"/>
        <s v="فؤاد المنسي"/>
        <s v="فيصل نعيم"/>
        <s v="كينج سونا"/>
        <s v="لينا"/>
        <s v="محمد حمدى"/>
        <s v="محمد شكرى"/>
        <s v="محمد عادل"/>
        <s v="محمد ناجى"/>
        <s v="محمود"/>
        <s v="مريم عنان"/>
        <s v="مصطفي غنيم"/>
        <s v="منزلى"/>
        <s v="مها"/>
        <s v="ميار خورشد"/>
        <s v="نور"/>
        <s v="هبه عبد الفتاح"/>
        <s v="هبه عطيه"/>
        <s v="هشام بسيونى"/>
        <s v="هشام سامى"/>
        <s v="هناء اسامه"/>
        <s v="وائل صادق"/>
        <s v="ولاء بدوى"/>
        <s v="يوسف شناوى"/>
      </sharedItems>
    </cacheField>
    <cacheField name="[Measures].[Distinct Count of أسم العميل]" caption="Distinct Count of أسم العميل" numFmtId="0" hierarchy="26" level="32767"/>
  </cacheFields>
  <cacheHierarchies count="27">
    <cacheHierarchy uniqueName="[Table1].[م]" caption="م" attribute="1" defaultMemberUniqueName="[Table1].[م].[All]" allUniqueName="[Table1].[م].[All]" dimensionUniqueName="[Table1]" displayFolder="" count="0" memberValueDatatype="20" unbalanced="0"/>
    <cacheHierarchy uniqueName="[Table1].[رقم العملية]" caption="رقم العملية" attribute="1" defaultMemberUniqueName="[Table1].[رقم العملية].[All]" allUniqueName="[Table1].[رقم العملية].[All]" dimensionUniqueName="[Table1]" displayFolder="" count="0" memberValueDatatype="130" unbalanced="0"/>
    <cacheHierarchy uniqueName="[Table1].[رقم الطلب]" caption="رقم الطلب" attribute="1" defaultMemberUniqueName="[Table1].[رقم الطلب].[All]" allUniqueName="[Table1].[رقم الطلب].[All]" dimensionUniqueName="[Table1]" displayFolder="" count="0" memberValueDatatype="20" unbalanced="0"/>
    <cacheHierarchy uniqueName="[Table1].[أسم العميل]" caption="أسم العميل" attribute="1" defaultMemberUniqueName="[Table1].[أسم العميل].[All]" allUniqueName="[Table1].[أسم العميل].[All]" dimensionUniqueName="[Table1]" displayFolder="" count="2" memberValueDatatype="130" unbalanced="0">
      <fieldsUsage count="2">
        <fieldUsage x="-1"/>
        <fieldUsage x="0"/>
      </fieldsUsage>
    </cacheHierarchy>
    <cacheHierarchy uniqueName="[Table1].[المدينة]" caption="المدينة" attribute="1" defaultMemberUniqueName="[Table1].[المدينة].[All]" allUniqueName="[Table1].[المدينة].[All]" dimensionUniqueName="[Table1]" displayFolder="" count="0" memberValueDatatype="130" unbalanced="0"/>
    <cacheHierarchy uniqueName="[Table1].[العنوان]" caption="العنوان" attribute="1" defaultMemberUniqueName="[Table1].[العنوان].[All]" allUniqueName="[Table1].[العنوان].[All]" dimensionUniqueName="[Table1]" displayFolder="" count="0" memberValueDatatype="130" unbalanced="0"/>
    <cacheHierarchy uniqueName="[Table1].[رقم الموبيل]" caption="رقم الموبيل" attribute="1" defaultMemberUniqueName="[Table1].[رقم الموبيل].[All]" allUniqueName="[Table1].[رقم الموبيل].[All]" dimensionUniqueName="[Table1]" displayFolder="" count="0" memberValueDatatype="130" unbalanced="0"/>
    <cacheHierarchy uniqueName="[Table1].[منصة البيع]" caption="منصة البيع" attribute="1" defaultMemberUniqueName="[Table1].[منصة البيع].[All]" allUniqueName="[Table1].[منصة البيع].[All]" dimensionUniqueName="[Table1]" displayFolder="" count="0" memberValueDatatype="130" unbalanced="0"/>
    <cacheHierarchy uniqueName="[Table1].[نوع المنتج]" caption="نوع المنتج" attribute="1" defaultMemberUniqueName="[Table1].[نوع المنتج].[All]" allUniqueName="[Table1].[نوع المنتج].[All]" dimensionUniqueName="[Table1]" displayFolder="" count="0" memberValueDatatype="130" unbalanced="0"/>
    <cacheHierarchy uniqueName="[Table1].[طريقة الصنع]" caption="طريقة الصنع" attribute="1" defaultMemberUniqueName="[Table1].[طريقة الصنع].[All]" allUniqueName="[Table1].[طريقة الصنع].[All]" dimensionUniqueName="[Table1]" displayFolder="" count="0" memberValueDatatype="130" unbalanced="0"/>
    <cacheHierarchy uniqueName="[Table1].[الاسم]" caption="الاسم" attribute="1" defaultMemberUniqueName="[Table1].[الاسم].[All]" allUniqueName="[Table1].[الاسم].[All]" dimensionUniqueName="[Table1]" displayFolder="" count="0" memberValueDatatype="130" unbalanced="0"/>
    <cacheHierarchy uniqueName="[Table1].[المقاس]" caption="المقاس" attribute="1" defaultMemberUniqueName="[Table1].[المقاس].[All]" allUniqueName="[Table1].[المقاس].[All]" dimensionUniqueName="[Table1]" displayFolder="" count="0" memberValueDatatype="130" unbalanced="0"/>
    <cacheHierarchy uniqueName="[Table1].[اللون المعدن]" caption="اللون المعدن" attribute="1" defaultMemberUniqueName="[Table1].[اللون المعدن].[All]" allUniqueName="[Table1].[اللون المعدن].[All]" dimensionUniqueName="[Table1]" displayFolder="" count="0" memberValueDatatype="130" unbalanced="0"/>
    <cacheHierarchy uniqueName="[Table1].[لون القماش]" caption="لون القماش" attribute="1" defaultMemberUniqueName="[Table1].[لون القماش].[All]" allUniqueName="[Table1].[لون القماش].[All]" dimensionUniqueName="[Table1]" displayFolder="" count="0" memberValueDatatype="130" unbalanced="0"/>
    <cacheHierarchy uniqueName="[Table1].[المنتج]" caption="المنتج" attribute="1" defaultMemberUniqueName="[Table1].[المنتج].[All]" allUniqueName="[Table1].[المنتج].[All]" dimensionUniqueName="[Table1]" displayFolder="" count="0" memberValueDatatype="130" unbalanced="0"/>
    <cacheHierarchy uniqueName="[Table1].[سعر البيع]" caption="سعر البيع" attribute="1" defaultMemberUniqueName="[Table1].[سعر البيع].[All]" allUniqueName="[Table1].[سعر البيع].[All]" dimensionUniqueName="[Table1]" displayFolder="" count="0" memberValueDatatype="5" unbalanced="0"/>
    <cacheHierarchy uniqueName="[Table1].[طريقه الدفع]" caption="طريقه الدفع" attribute="1" defaultMemberUniqueName="[Table1].[طريقه الدفع].[All]" allUniqueName="[Table1].[طريقه الدفع].[All]" dimensionUniqueName="[Table1]" displayFolder="" count="0" memberValueDatatype="130" unbalanced="0"/>
    <cacheHierarchy uniqueName="[Table1].[ميعاد الطلب]" caption="ميعاد الطلب" attribute="1" time="1" defaultMemberUniqueName="[Table1].[ميعاد الطلب].[All]" allUniqueName="[Table1].[ميعاد الطلب].[All]" dimensionUniqueName="[Table1]" displayFolder="" count="0" memberValueDatatype="7" unbalanced="0"/>
    <cacheHierarchy uniqueName="[Table1].[ميعاد التسليم]" caption="ميعاد التسليم" attribute="1" time="1" defaultMemberUniqueName="[Table1].[ميعاد التسليم].[All]" allUniqueName="[Table1].[ميعاد التسليم].[All]" dimensionUniqueName="[Table1]" displayFolder="" count="0" memberValueDatatype="7" unbalanced="0"/>
    <cacheHierarchy uniqueName="[Table1].[تاريخ التسليم]" caption="تاريخ التسليم" attribute="1" time="1" defaultMemberUniqueName="[Table1].[تاريخ التسليم].[All]" allUniqueName="[Table1].[تاريخ التسليم].[All]" dimensionUniqueName="[Table1]" displayFolder="" count="0" memberValueDatatype="7" unbalanced="0"/>
    <cacheHierarchy uniqueName="[Table1].[حساب وقت وصول الطلب]" caption="حساب وقت وصول الطلب" attribute="1" defaultMemberUniqueName="[Table1].[حساب وقت وصول الطلب].[All]" allUniqueName="[Table1].[حساب وقت وصول الطلب].[All]" dimensionUniqueName="[Table1]" displayFolder="" count="0" memberValueDatatype="130" unbalanced="0"/>
    <cacheHierarchy uniqueName="[Table1].[المسئول عن التسليم]" caption="المسئول عن التسليم" attribute="1" defaultMemberUniqueName="[Table1].[المسئول عن التسليم].[All]" allUniqueName="[Table1].[المسئول عن التسليم].[All]" dimensionUniqueName="[Table1]" displayFolder="" count="0" memberValueDatatype="130" unbalanced="0"/>
    <cacheHierarchy uniqueName="[Table1].[الحالة]" caption="الحالة" attribute="1" defaultMemberUniqueName="[Table1].[الحالة].[All]" allUniqueName="[Table1].[الحالة].[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أسم العميل]" caption="Count of أسم العميل" measure="1" displayFolder="" measureGroup="Table1" count="0" hidden="1">
      <extLst>
        <ext xmlns:x15="http://schemas.microsoft.com/office/spreadsheetml/2010/11/main" uri="{B97F6D7D-B522-45F9-BDA1-12C45D357490}">
          <x15:cacheHierarchy aggregatedColumn="3"/>
        </ext>
      </extLst>
    </cacheHierarchy>
    <cacheHierarchy uniqueName="[Measures].[Distinct Count of أسم العميل]" caption="Distinct Count of أسم العميل" measure="1" displayFolder="" measureGroup="Table1" count="0" oneField="1" hidden="1">
      <fieldsUsage count="1">
        <fieldUsage x="1"/>
      </fieldsUsage>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stafa" refreshedDate="46024.943603472224" createdVersion="7" refreshedVersion="7" minRefreshableVersion="3" recordCount="112" xr:uid="{DD616512-9057-49C9-AB0D-9DA89818A307}">
  <cacheSource type="worksheet">
    <worksheetSource name="Table1"/>
  </cacheSource>
  <cacheFields count="23">
    <cacheField name="م" numFmtId="0">
      <sharedItems containsSemiMixedTypes="0" containsString="0" containsNumber="1" containsInteger="1" minValue="1" maxValue="112"/>
    </cacheField>
    <cacheField name="رقم العملية" numFmtId="0">
      <sharedItems containsMixedTypes="1" containsNumber="1" containsInteger="1" minValue="1282228" maxValue="265453625"/>
    </cacheField>
    <cacheField name="رقم الطلب" numFmtId="0">
      <sharedItems containsString="0" containsBlank="1" containsNumber="1" containsInteger="1" minValue="2514" maxValue="1708226"/>
    </cacheField>
    <cacheField name="أسم العميل" numFmtId="0">
      <sharedItems/>
    </cacheField>
    <cacheField name="المدينة" numFmtId="0">
      <sharedItems containsBlank="1" count="9">
        <s v="الجيزة"/>
        <s v="الأسكندرية"/>
        <s v="الساحل الشمالي"/>
        <s v="الغردقة"/>
        <m/>
        <s v="القاهرة"/>
        <s v="القليوبية"/>
        <s v="السويس"/>
        <s v="أسيوط"/>
      </sharedItems>
    </cacheField>
    <cacheField name="العنوان" numFmtId="0">
      <sharedItems containsBlank="1"/>
    </cacheField>
    <cacheField name="رقم الموبيل" numFmtId="0">
      <sharedItems containsBlank="1" containsMixedTypes="1" containsNumber="1" containsInteger="1" minValue="1211691428" maxValue="1277038843"/>
    </cacheField>
    <cacheField name="منصة البيع " numFmtId="0">
      <sharedItems containsBlank="1" count="16">
        <s v="هومزمارت"/>
        <s v="شيك هومز"/>
        <s v="فيسبوك"/>
        <s v="تاكى"/>
        <s v="اوسكار ريتن"/>
        <s v="السويس"/>
        <s v="منزلى"/>
        <s v="مسيو هومزمارت"/>
        <s v="كيمت"/>
        <m u="1"/>
        <s v="هومزمارت " u="1"/>
        <s v="كيمت " u="1"/>
        <s v="تاكى " u="1"/>
        <s v="اوسكار ريتن " u="1"/>
        <s v="منزلى " u="1"/>
        <s v="شيك هومز " u="1"/>
      </sharedItems>
    </cacheField>
    <cacheField name="نوع المنتج" numFmtId="0">
      <sharedItems containsBlank="1" count="8">
        <s v="سرير"/>
        <s v="ترابيزه"/>
        <s v="كنبة "/>
        <s v="ركنة"/>
        <s v="كرسى"/>
        <s v="شيزلونج"/>
        <s v="سرير "/>
        <m u="1"/>
      </sharedItems>
    </cacheField>
    <cacheField name="طريقة الصنع" numFmtId="0">
      <sharedItems containsBlank="1"/>
    </cacheField>
    <cacheField name="الاسم" numFmtId="0">
      <sharedItems containsBlank="1"/>
    </cacheField>
    <cacheField name="المقاس" numFmtId="0">
      <sharedItems containsBlank="1" containsMixedTypes="1" containsNumber="1" containsInteger="1" minValue="80" maxValue="160"/>
    </cacheField>
    <cacheField name="اللون المعدن" numFmtId="0">
      <sharedItems containsBlank="1" count="11">
        <m/>
        <s v="ازرق"/>
        <s v="رمادى"/>
        <s v="ابيض"/>
        <s v="اسود"/>
        <s v="دهبي"/>
        <s v="بنفسجى"/>
        <s v="اسود وبنى"/>
        <s v="الوان"/>
        <s v="بينك"/>
        <s v="نبيتى "/>
      </sharedItems>
    </cacheField>
    <cacheField name="لون القماش" numFmtId="0">
      <sharedItems containsBlank="1" count="15">
        <m/>
        <s v="اسود"/>
        <s v="رمادى"/>
        <s v="نبيتى "/>
        <s v="بيج"/>
        <s v="رصاصي مشجر"/>
        <s v="بترولى "/>
        <s v="خشب بنى فاتح"/>
        <s v="بترولى"/>
        <s v="ابيض"/>
        <s v="ابيض في بنى غامق"/>
        <s v="بنى غامق"/>
        <s v="بنى غامق "/>
        <s v="بيج "/>
        <s v="روك ١٠"/>
      </sharedItems>
    </cacheField>
    <cacheField name="المنتج" numFmtId="0">
      <sharedItems containsBlank="1"/>
    </cacheField>
    <cacheField name="سعر البيع " numFmtId="1">
      <sharedItems containsString="0" containsBlank="1" containsNumber="1" minValue="4020" maxValue="22000"/>
    </cacheField>
    <cacheField name="طريقه الدفع " numFmtId="2">
      <sharedItems containsBlank="1" containsMixedTypes="1" containsNumber="1" minValue="1278.53" maxValue="22000"/>
    </cacheField>
    <cacheField name="ميعاد الطلب" numFmtId="14">
      <sharedItems containsNonDate="0" containsDate="1" containsString="0" containsBlank="1" minDate="2024-07-27T00:00:00" maxDate="2024-12-15T00:00:00"/>
    </cacheField>
    <cacheField name="ميعاد التسليم" numFmtId="0">
      <sharedItems containsNonDate="0" containsDate="1" containsString="0" containsBlank="1" minDate="2024-03-12T00:00:00" maxDate="2025-01-06T00:00:00"/>
    </cacheField>
    <cacheField name="تاريخ التسليم" numFmtId="0">
      <sharedItems containsNonDate="0" containsDate="1" containsString="0" containsBlank="1" minDate="2024-08-10T00:00:00" maxDate="2024-12-30T00:00:00"/>
    </cacheField>
    <cacheField name="حساب وقت وصول الطلب" numFmtId="49">
      <sharedItems containsBlank="1" count="5">
        <s v="On Time"/>
        <s v="Early"/>
        <s v="Late"/>
        <s v="Very Late"/>
        <m u="1"/>
      </sharedItems>
    </cacheField>
    <cacheField name="المسئول عن التسليم" numFmtId="0">
      <sharedItems containsBlank="1"/>
    </cacheField>
    <cacheField name="الحالة" numFmtId="0">
      <sharedItems containsBlank="1" count="7">
        <s v="تم التسليم"/>
        <s v="فشل التسليم"/>
        <s v="لاغى"/>
        <s v="مرتجع"/>
        <s v="تم التصنيع"/>
        <m/>
        <s v="مرفوض "/>
      </sharedItems>
    </cacheField>
  </cacheFields>
  <extLst>
    <ext xmlns:x14="http://schemas.microsoft.com/office/spreadsheetml/2009/9/main" uri="{725AE2AE-9491-48be-B2B4-4EB974FC3084}">
      <x14:pivotCacheDefinition pivotCacheId="5963334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n v="1"/>
    <s v="MH_1001"/>
    <m/>
    <s v="خالد عبد القوى "/>
    <x v="0"/>
    <s v="العجوزه - الجيزه"/>
    <m/>
    <x v="0"/>
    <x v="0"/>
    <s v="منطبق"/>
    <m/>
    <m/>
    <x v="0"/>
    <x v="0"/>
    <s v="سرير منطبق الحديد ابيض والقماش ابيض "/>
    <n v="10160"/>
    <s v="مسبق الدفع"/>
    <d v="2024-07-27T00:00:00"/>
    <d v="2024-08-10T00:00:00"/>
    <d v="2024-08-10T00:00:00"/>
    <x v="0"/>
    <s v="شركه شحن "/>
    <x v="0"/>
  </r>
  <r>
    <n v="2"/>
    <s v="MH_1002"/>
    <m/>
    <s v="محمود"/>
    <x v="1"/>
    <s v="سموحه - اسكندريه"/>
    <m/>
    <x v="0"/>
    <x v="0"/>
    <s v="منطبق"/>
    <m/>
    <m/>
    <x v="0"/>
    <x v="0"/>
    <s v="سرير منطبق اسود والقماش اسود "/>
    <n v="10160"/>
    <n v="9749"/>
    <d v="2024-07-28T00:00:00"/>
    <d v="2024-08-11T00:00:00"/>
    <d v="2024-08-11T00:00:00"/>
    <x v="0"/>
    <s v="شركه شحن "/>
    <x v="0"/>
  </r>
  <r>
    <n v="3"/>
    <s v="MH_1003"/>
    <m/>
    <s v="سعيد"/>
    <x v="2"/>
    <s v="سيدى عبد الرحمن - الساحل الشمالى "/>
    <m/>
    <x v="0"/>
    <x v="0"/>
    <s v="دورين"/>
    <s v="كيفنج"/>
    <n v="90"/>
    <x v="1"/>
    <x v="0"/>
    <s v="سرير كيفينج مقاس 90 لون ازرق "/>
    <n v="11455"/>
    <n v="10067.68"/>
    <d v="2024-07-27T00:00:00"/>
    <m/>
    <m/>
    <x v="0"/>
    <s v="فشل التسليم "/>
    <x v="1"/>
  </r>
  <r>
    <n v="4"/>
    <s v="MH_1004"/>
    <m/>
    <s v="ساندرا"/>
    <x v="3"/>
    <s v="الغردقه "/>
    <m/>
    <x v="0"/>
    <x v="1"/>
    <m/>
    <m/>
    <m/>
    <x v="0"/>
    <x v="0"/>
    <s v="ترابيزه قهوه متحركه "/>
    <n v="8642"/>
    <s v="مسبق الدفع"/>
    <d v="2024-09-14T00:00:00"/>
    <d v="2024-09-07T00:00:00"/>
    <d v="2024-08-27T00:00:00"/>
    <x v="1"/>
    <s v="شركه شحن "/>
    <x v="0"/>
  </r>
  <r>
    <n v="5"/>
    <s v="MH_1005"/>
    <m/>
    <s v="زينا "/>
    <x v="2"/>
    <s v="سيدى عبد الرحمن - الساحل الشمالى "/>
    <m/>
    <x v="0"/>
    <x v="0"/>
    <s v="دورين"/>
    <s v="نوفال"/>
    <n v="100"/>
    <x v="2"/>
    <x v="0"/>
    <s v="سرير نوفال متر رمادى "/>
    <n v="12833"/>
    <n v="12974.22"/>
    <d v="2024-09-15T00:00:00"/>
    <d v="2024-08-31T00:00:00"/>
    <m/>
    <x v="0"/>
    <s v="فشل التسليم "/>
    <x v="1"/>
  </r>
  <r>
    <n v="6"/>
    <s v="MSH-1001"/>
    <m/>
    <s v="شيك هومز "/>
    <x v="4"/>
    <m/>
    <m/>
    <x v="1"/>
    <x v="2"/>
    <s v="4*1"/>
    <m/>
    <m/>
    <x v="0"/>
    <x v="0"/>
    <s v="كنبه سرير رمادى "/>
    <n v="14550"/>
    <s v="مسبق الدفع"/>
    <d v="2024-09-15T00:00:00"/>
    <d v="2024-09-03T00:00:00"/>
    <d v="2024-09-05T00:00:00"/>
    <x v="2"/>
    <s v="شركه شحن "/>
    <x v="0"/>
  </r>
  <r>
    <n v="7"/>
    <s v="MF_1001"/>
    <m/>
    <s v="احمد "/>
    <x v="5"/>
    <s v="التجمع الخامس"/>
    <m/>
    <x v="2"/>
    <x v="2"/>
    <s v="4*1"/>
    <m/>
    <m/>
    <x v="0"/>
    <x v="0"/>
    <s v="كنبه سرير رمادى "/>
    <n v="12000"/>
    <n v="12000"/>
    <d v="2024-09-15T00:00:00"/>
    <d v="2024-08-20T00:00:00"/>
    <d v="2024-08-19T00:00:00"/>
    <x v="1"/>
    <s v="شركه شحن "/>
    <x v="0"/>
  </r>
  <r>
    <n v="8"/>
    <s v="MH_1006"/>
    <m/>
    <s v="yilmaz"/>
    <x v="0"/>
    <s v="٦ اكتوبر الجيزه "/>
    <m/>
    <x v="0"/>
    <x v="0"/>
    <s v="فردى"/>
    <m/>
    <m/>
    <x v="0"/>
    <x v="0"/>
    <s v="سرير فردى ابيض "/>
    <n v="7228"/>
    <s v="مسبق الدفع"/>
    <d v="2024-09-16T00:00:00"/>
    <d v="2024-09-03T00:00:00"/>
    <d v="2024-09-10T00:00:00"/>
    <x v="2"/>
    <s v="شركه شحن "/>
    <x v="0"/>
  </r>
  <r>
    <n v="9"/>
    <s v="MST_1001"/>
    <m/>
    <s v="تاكى "/>
    <x v="5"/>
    <s v="العباسيه"/>
    <m/>
    <x v="3"/>
    <x v="3"/>
    <s v="ركنة بسرير"/>
    <m/>
    <m/>
    <x v="0"/>
    <x v="0"/>
    <s v="ركنه "/>
    <n v="22000"/>
    <n v="22000"/>
    <d v="2024-08-19T00:00:00"/>
    <d v="2024-09-01T00:00:00"/>
    <d v="2024-09-17T00:00:00"/>
    <x v="3"/>
    <m/>
    <x v="0"/>
  </r>
  <r>
    <n v="10"/>
    <s v="MST_1002"/>
    <m/>
    <s v="تاكى "/>
    <x v="5"/>
    <s v="العباسيه"/>
    <m/>
    <x v="3"/>
    <x v="2"/>
    <s v="سحارة"/>
    <m/>
    <m/>
    <x v="0"/>
    <x v="0"/>
    <s v="٢ كنبه سحاره بمخدع"/>
    <n v="16000"/>
    <n v="16000"/>
    <m/>
    <m/>
    <m/>
    <x v="0"/>
    <s v="ملغى "/>
    <x v="2"/>
  </r>
  <r>
    <n v="11"/>
    <s v="MST_1003"/>
    <m/>
    <s v="تاكى "/>
    <x v="5"/>
    <s v="العباسيه "/>
    <m/>
    <x v="3"/>
    <x v="2"/>
    <s v="سحارة"/>
    <m/>
    <m/>
    <x v="0"/>
    <x v="0"/>
    <s v="٢ كنبه سحاره بدون مخدع "/>
    <n v="6000"/>
    <n v="12000"/>
    <d v="2024-08-25T00:00:00"/>
    <d v="2024-09-15T00:00:00"/>
    <d v="2024-09-17T00:00:00"/>
    <x v="2"/>
    <s v="محمود على "/>
    <x v="0"/>
  </r>
  <r>
    <n v="12"/>
    <s v="MH_1007"/>
    <m/>
    <s v="على رشوان "/>
    <x v="5"/>
    <s v="مصر الجديده"/>
    <m/>
    <x v="0"/>
    <x v="0"/>
    <s v="دورين"/>
    <s v="نوفال"/>
    <n v="80"/>
    <x v="3"/>
    <x v="0"/>
    <s v="سرير نوفال ابيض مقاس ٨٠"/>
    <n v="10499"/>
    <n v="8924"/>
    <d v="2024-09-01T00:00:00"/>
    <d v="2024-09-16T00:00:00"/>
    <d v="2024-09-08T00:00:00"/>
    <x v="1"/>
    <s v="شركه شحن "/>
    <x v="0"/>
  </r>
  <r>
    <n v="13"/>
    <n v="1404561"/>
    <n v="1199284"/>
    <s v="احمد فخرى "/>
    <x v="0"/>
    <s v="٦ اكتوبر الجيزه "/>
    <m/>
    <x v="0"/>
    <x v="0"/>
    <s v="فردى"/>
    <s v="نوفال"/>
    <n v="80"/>
    <x v="3"/>
    <x v="0"/>
    <s v="سرير فردى خشب موسكى الحديد ابيض مقاس ٨٠"/>
    <n v="7295"/>
    <n v="5895"/>
    <d v="2024-09-05T00:00:00"/>
    <d v="2024-09-14T00:00:00"/>
    <m/>
    <x v="0"/>
    <m/>
    <x v="2"/>
  </r>
  <r>
    <n v="14"/>
    <n v="1401137"/>
    <n v="1197500"/>
    <s v="لينا "/>
    <x v="5"/>
    <s v="المقطم "/>
    <m/>
    <x v="0"/>
    <x v="1"/>
    <s v="2 ميكانزم"/>
    <m/>
    <m/>
    <x v="0"/>
    <x v="0"/>
    <s v="ترابيزه قهوه علويه جديده "/>
    <n v="7849"/>
    <s v="مسبق الدفع"/>
    <d v="2024-09-04T00:00:00"/>
    <d v="2024-09-16T00:00:00"/>
    <d v="2024-09-25T00:00:00"/>
    <x v="2"/>
    <s v="شركه شحن "/>
    <x v="3"/>
  </r>
  <r>
    <n v="15"/>
    <s v="MO_1001"/>
    <m/>
    <s v="فيصل نعيم "/>
    <x v="5"/>
    <s v="التجمع الخامس "/>
    <m/>
    <x v="4"/>
    <x v="0"/>
    <s v="دورين"/>
    <s v="كيفنج"/>
    <n v="120"/>
    <x v="4"/>
    <x v="0"/>
    <s v="٢ سرير كيفنج ١٢٠ اسود "/>
    <n v="6180"/>
    <n v="9700"/>
    <d v="2024-09-03T00:00:00"/>
    <d v="2024-09-16T00:00:00"/>
    <d v="2024-09-15T00:00:00"/>
    <x v="1"/>
    <s v="محمود على "/>
    <x v="0"/>
  </r>
  <r>
    <n v="16"/>
    <n v="1400149"/>
    <n v="1196947"/>
    <s v="ellho elkafy"/>
    <x v="5"/>
    <s v="مدينه نصر "/>
    <m/>
    <x v="0"/>
    <x v="0"/>
    <s v="دورين"/>
    <s v="كينج"/>
    <n v="80"/>
    <x v="3"/>
    <x v="0"/>
    <s v="سرير كينج ابيض مقاس ٨٠ التصميم الجديد "/>
    <n v="11199"/>
    <n v="11310"/>
    <d v="2024-09-04T00:00:00"/>
    <d v="2024-09-18T00:00:00"/>
    <m/>
    <x v="0"/>
    <m/>
    <x v="2"/>
  </r>
  <r>
    <n v="17"/>
    <n v="1408099"/>
    <n v="1201057"/>
    <s v="احمد "/>
    <x v="5"/>
    <s v="القاهره الجديده"/>
    <m/>
    <x v="0"/>
    <x v="0"/>
    <s v="فردى"/>
    <s v="فورجينا"/>
    <n v="80"/>
    <x v="3"/>
    <x v="0"/>
    <s v="٤سرير فردى خشب موسكى الحديد ابيض مقاس ٨٠"/>
    <n v="7987"/>
    <s v="مسبق الدفع"/>
    <d v="2024-09-06T00:00:00"/>
    <d v="2024-09-16T00:00:00"/>
    <d v="2024-09-21T00:00:00"/>
    <x v="2"/>
    <s v="محمود على "/>
    <x v="0"/>
  </r>
  <r>
    <n v="18"/>
    <s v="MST_1004"/>
    <m/>
    <s v="تاكى"/>
    <x v="5"/>
    <s v="العباسيه"/>
    <m/>
    <x v="3"/>
    <x v="4"/>
    <s v="فينيسيا"/>
    <m/>
    <m/>
    <x v="0"/>
    <x v="0"/>
    <s v="٢ فوتيه فنيسيا "/>
    <n v="9300"/>
    <n v="9300"/>
    <d v="2024-09-04T00:00:00"/>
    <d v="2024-09-15T00:00:00"/>
    <d v="2024-09-17T00:00:00"/>
    <x v="2"/>
    <s v="محمود على "/>
    <x v="0"/>
  </r>
  <r>
    <n v="19"/>
    <n v="1513856"/>
    <n v="1231946"/>
    <s v="صفاء"/>
    <x v="5"/>
    <s v="المعادى"/>
    <m/>
    <x v="0"/>
    <x v="1"/>
    <s v="2 ميكانزم"/>
    <m/>
    <m/>
    <x v="0"/>
    <x v="0"/>
    <s v="ترابيزه قهوه علويه جديده "/>
    <n v="8849"/>
    <s v="مسبق الدفع"/>
    <d v="2024-09-03T00:00:00"/>
    <d v="2024-10-16T00:00:00"/>
    <m/>
    <x v="0"/>
    <m/>
    <x v="2"/>
  </r>
  <r>
    <n v="20"/>
    <n v="1411691"/>
    <n v="1202775"/>
    <s v="حسن حازم"/>
    <x v="0"/>
    <s v="٦ اكتوبر الجيزه "/>
    <m/>
    <x v="0"/>
    <x v="0"/>
    <s v="فردى"/>
    <s v="اسبانى"/>
    <n v="120"/>
    <x v="3"/>
    <x v="0"/>
    <s v="سرير اسبانى ابيض ١٢٠"/>
    <n v="10987"/>
    <s v="مسبق الدفع"/>
    <d v="2024-09-09T00:00:00"/>
    <d v="2024-09-17T00:00:00"/>
    <d v="2024-09-21T00:00:00"/>
    <x v="2"/>
    <s v="محمود على "/>
    <x v="0"/>
  </r>
  <r>
    <n v="21"/>
    <s v="MSH-1002"/>
    <m/>
    <s v="شيك هومز "/>
    <x v="4"/>
    <m/>
    <m/>
    <x v="1"/>
    <x v="0"/>
    <s v="دورين"/>
    <s v="كينج"/>
    <n v="100"/>
    <x v="3"/>
    <x v="0"/>
    <s v="سرير كينج ابيض "/>
    <n v="9208"/>
    <n v="5781.75"/>
    <d v="2024-09-01T00:00:00"/>
    <d v="2024-09-19T00:00:00"/>
    <d v="2024-09-21T00:00:00"/>
    <x v="2"/>
    <s v="محمود على "/>
    <x v="0"/>
  </r>
  <r>
    <n v="22"/>
    <s v="MSH-1003"/>
    <m/>
    <s v="شيك هومز "/>
    <x v="4"/>
    <m/>
    <m/>
    <x v="1"/>
    <x v="0"/>
    <s v="دورين"/>
    <s v="كينج"/>
    <n v="100"/>
    <x v="4"/>
    <x v="0"/>
    <s v="سرير كينج اسود "/>
    <n v="9208"/>
    <n v="1278.53"/>
    <d v="2024-09-01T00:00:00"/>
    <d v="2024-09-19T00:00:00"/>
    <d v="2024-09-21T00:00:00"/>
    <x v="2"/>
    <s v="محمود على "/>
    <x v="0"/>
  </r>
  <r>
    <n v="23"/>
    <s v="MO_1002"/>
    <m/>
    <s v="اوسكار راتن"/>
    <x v="6"/>
    <s v="مخزن اوسكار في القناطر "/>
    <m/>
    <x v="4"/>
    <x v="0"/>
    <s v="فردى"/>
    <s v="فورجينا"/>
    <n v="120"/>
    <x v="3"/>
    <x v="0"/>
    <s v="٢ سريرفورجينا خشب موسكى ابيض مقاس ١٢٠"/>
    <n v="4020"/>
    <s v="حساب شركه"/>
    <d v="2024-09-12T00:00:00"/>
    <d v="2024-09-21T00:00:00"/>
    <d v="2024-09-22T00:00:00"/>
    <x v="2"/>
    <s v="محمود على "/>
    <x v="0"/>
  </r>
  <r>
    <n v="24"/>
    <s v="MO_1003"/>
    <m/>
    <s v="اوسكار راتن"/>
    <x v="6"/>
    <s v="مخزن اوسكار في القناطر "/>
    <m/>
    <x v="4"/>
    <x v="0"/>
    <s v="فردى"/>
    <s v="ارفيل"/>
    <n v="120"/>
    <x v="4"/>
    <x v="0"/>
    <s v="٢ سرير ارفيل ١٢٠ اسود "/>
    <n v="4020"/>
    <s v="مسبق الدفع "/>
    <d v="2024-09-12T00:00:00"/>
    <d v="2024-09-21T00:00:00"/>
    <d v="2024-09-22T00:00:00"/>
    <x v="2"/>
    <s v="محمود على "/>
    <x v="0"/>
  </r>
  <r>
    <n v="25"/>
    <n v="1509211"/>
    <n v="1230837"/>
    <s v="صفاء الحكيم"/>
    <x v="7"/>
    <s v="العين السخنه"/>
    <m/>
    <x v="0"/>
    <x v="0"/>
    <s v="منطبق"/>
    <m/>
    <m/>
    <x v="4"/>
    <x v="1"/>
    <s v="سرير منطببق اسود وقماش اسود"/>
    <n v="9399"/>
    <s v="مسبق الدفع "/>
    <d v="2024-09-14T00:00:00"/>
    <d v="2024-09-22T00:00:00"/>
    <m/>
    <x v="0"/>
    <s v="فشل التسليم "/>
    <x v="1"/>
  </r>
  <r>
    <n v="26"/>
    <n v="1536687"/>
    <n v="1237682"/>
    <s v="يوسف شناوى"/>
    <x v="1"/>
    <s v="الابراهيميه . الإسكندرية "/>
    <m/>
    <x v="0"/>
    <x v="1"/>
    <s v="رف سحاب"/>
    <m/>
    <m/>
    <x v="0"/>
    <x v="0"/>
    <s v="ترابيزه قهوه علويه برف سحاب "/>
    <n v="8349"/>
    <s v="مسبق الدفع "/>
    <d v="2024-09-15T00:00:00"/>
    <d v="2024-09-22T00:00:00"/>
    <d v="2024-09-24T00:00:00"/>
    <x v="2"/>
    <s v="شركه شحن "/>
    <x v="0"/>
  </r>
  <r>
    <n v="27"/>
    <n v="1520537"/>
    <n v="1233624"/>
    <s v="حاتم العيسوي "/>
    <x v="0"/>
    <s v="٦ اكتوبر الجيزه "/>
    <m/>
    <x v="0"/>
    <x v="0"/>
    <s v="منطبق"/>
    <m/>
    <m/>
    <x v="4"/>
    <x v="1"/>
    <s v="سرير منطبق اسود حديد وقماش"/>
    <n v="9399"/>
    <s v="مسبق الدفع"/>
    <d v="2024-09-15T00:00:00"/>
    <d v="2024-09-24T00:00:00"/>
    <d v="2024-10-01T00:00:00"/>
    <x v="2"/>
    <s v="شركه شحن "/>
    <x v="0"/>
  </r>
  <r>
    <n v="28"/>
    <n v="1422998"/>
    <n v="1207350"/>
    <s v="رنا "/>
    <x v="5"/>
    <s v="القطاميه "/>
    <m/>
    <x v="0"/>
    <x v="1"/>
    <s v="2 ميكانزم"/>
    <m/>
    <m/>
    <x v="0"/>
    <x v="0"/>
    <s v="ترابيزه قهوه علويه جديده "/>
    <n v="7849"/>
    <n v="7928"/>
    <d v="2024-09-15T00:00:00"/>
    <d v="2024-09-26T00:00:00"/>
    <m/>
    <x v="0"/>
    <s v="شركه شحن "/>
    <x v="4"/>
  </r>
  <r>
    <n v="29"/>
    <s v="MF_1002"/>
    <m/>
    <s v="عبير نور الدين"/>
    <x v="0"/>
    <s v="١٨ شارع البحيري بولاق الدكرور الجيزه "/>
    <s v="1229928475-01022373996"/>
    <x v="2"/>
    <x v="0"/>
    <s v="ثلاثه ادوار"/>
    <s v="كيفنج"/>
    <n v="100"/>
    <x v="4"/>
    <x v="0"/>
    <s v="سرير ٣ ادورا اسود مقاس ١٠٠ "/>
    <n v="9450"/>
    <n v="9450"/>
    <d v="2024-09-16T00:00:00"/>
    <d v="2024-09-26T00:00:00"/>
    <m/>
    <x v="0"/>
    <m/>
    <x v="2"/>
  </r>
  <r>
    <n v="30"/>
    <n v="1459790"/>
    <n v="1218257"/>
    <s v="اسراء ابو العنين "/>
    <x v="5"/>
    <s v="القاهره الجديده"/>
    <m/>
    <x v="0"/>
    <x v="0"/>
    <s v="فردى"/>
    <s v="اسبانى"/>
    <n v="120"/>
    <x v="4"/>
    <x v="0"/>
    <s v="سرير اسبانى اسود مقاس ١٢٠"/>
    <n v="7460"/>
    <s v="مسبق الدفع"/>
    <d v="2024-09-13T00:00:00"/>
    <d v="2024-09-26T00:00:00"/>
    <d v="2024-10-03T00:00:00"/>
    <x v="2"/>
    <s v="محمود على "/>
    <x v="0"/>
  </r>
  <r>
    <n v="31"/>
    <n v="1455486"/>
    <n v="1217163"/>
    <s v="وائل صادق"/>
    <x v="5"/>
    <s v="القاهره الجديده"/>
    <m/>
    <x v="0"/>
    <x v="0"/>
    <s v="فردى"/>
    <s v="كورين"/>
    <n v="140"/>
    <x v="5"/>
    <x v="2"/>
    <s v="سرير كوين مقاس ١٤٠ دهبي ورمادى "/>
    <n v="9528"/>
    <s v="مسبق الدفع"/>
    <d v="2024-09-13T00:00:00"/>
    <d v="2024-09-26T00:00:00"/>
    <d v="2024-10-03T00:00:00"/>
    <x v="2"/>
    <s v="محمود على "/>
    <x v="0"/>
  </r>
  <r>
    <n v="32"/>
    <n v="1504407"/>
    <n v="1229760"/>
    <s v="حسن مغرب "/>
    <x v="0"/>
    <s v="٦ اكتوبر الجيزه "/>
    <m/>
    <x v="0"/>
    <x v="0"/>
    <s v="دورين"/>
    <s v="كيفنج"/>
    <n v="120"/>
    <x v="2"/>
    <x v="0"/>
    <s v="سرير كيفنج ١٢٠ رمادى "/>
    <n v="12999"/>
    <s v="مسبق الدفع"/>
    <d v="2024-09-14T00:00:00"/>
    <d v="2024-09-27T00:00:00"/>
    <d v="2024-10-02T00:00:00"/>
    <x v="2"/>
    <s v="محمود على "/>
    <x v="0"/>
  </r>
  <r>
    <n v="33"/>
    <n v="1423361"/>
    <n v="1207484"/>
    <s v="على السيد "/>
    <x v="5"/>
    <s v="الشروق القاهره "/>
    <m/>
    <x v="0"/>
    <x v="0"/>
    <s v="دورين"/>
    <s v="نوفال"/>
    <n v="90"/>
    <x v="4"/>
    <x v="0"/>
    <s v="سرير نوفال  ٩٠ اسود "/>
    <n v="5999"/>
    <s v="مسبق الدفع"/>
    <d v="2024-09-12T00:00:00"/>
    <d v="2024-09-29T00:00:00"/>
    <m/>
    <x v="0"/>
    <m/>
    <x v="5"/>
  </r>
  <r>
    <n v="34"/>
    <n v="1415725"/>
    <n v="1204732"/>
    <s v="هشام بسيونى "/>
    <x v="0"/>
    <s v="حدايق الاهرام "/>
    <m/>
    <x v="0"/>
    <x v="0"/>
    <s v="دورين"/>
    <s v="كيفنج"/>
    <n v="100"/>
    <x v="4"/>
    <x v="0"/>
    <s v="            ٢ سرير كيفنج ١٠٠ اسود "/>
    <n v="11949"/>
    <n v="10749"/>
    <d v="2024-09-12T00:00:00"/>
    <d v="2024-09-29T00:00:00"/>
    <d v="2024-10-02T00:00:00"/>
    <x v="2"/>
    <s v="محمود على "/>
    <x v="0"/>
  </r>
  <r>
    <n v="35"/>
    <n v="1499397"/>
    <n v="1228586"/>
    <s v="احمد "/>
    <x v="5"/>
    <s v="الشروق"/>
    <m/>
    <x v="0"/>
    <x v="0"/>
    <s v="ثلاثه ادوار"/>
    <s v="كيفنج"/>
    <n v="80"/>
    <x v="3"/>
    <x v="0"/>
    <s v="سرير ٣ ادوار ابيض مقاس ٨٠ ابيض "/>
    <n v="16599"/>
    <s v="مسبق الدفع"/>
    <d v="2024-09-13T00:00:00"/>
    <d v="2024-09-30T00:00:00"/>
    <d v="2024-10-03T00:00:00"/>
    <x v="2"/>
    <s v="محمود على "/>
    <x v="0"/>
  </r>
  <r>
    <n v="36"/>
    <n v="1458696"/>
    <n v="1217982"/>
    <s v="ساره وجيه "/>
    <x v="3"/>
    <s v="الغردقه "/>
    <m/>
    <x v="0"/>
    <x v="0"/>
    <s v="دورين"/>
    <s v="كيفنج"/>
    <n v="80"/>
    <x v="3"/>
    <x v="0"/>
    <s v="سرير كيفنج دورين مقاس ٨٠ ابيض "/>
    <n v="10999"/>
    <s v="مسبق الدفع"/>
    <d v="2024-09-13T00:00:00"/>
    <d v="2024-09-30T00:00:00"/>
    <d v="2024-10-16T00:00:00"/>
    <x v="3"/>
    <s v="شركه شحن "/>
    <x v="0"/>
  </r>
  <r>
    <n v="37"/>
    <n v="1480814"/>
    <n v="1223964"/>
    <s v="مها "/>
    <x v="7"/>
    <s v="لافيستا العين السخنه "/>
    <m/>
    <x v="0"/>
    <x v="0"/>
    <s v="دورين"/>
    <s v="كيفنج"/>
    <n v="140"/>
    <x v="1"/>
    <x v="0"/>
    <s v="سرير استيل ازرق مقاس ١٤٠"/>
    <n v="13099"/>
    <s v="مسبق الدفع"/>
    <d v="2024-09-13T00:00:00"/>
    <d v="2024-09-30T00:00:00"/>
    <d v="2024-10-03T00:00:00"/>
    <x v="2"/>
    <s v="شركه شحن "/>
    <x v="0"/>
  </r>
  <r>
    <n v="38"/>
    <n v="1492471"/>
    <n v="1227052"/>
    <s v="بسام الشربينى "/>
    <x v="0"/>
    <s v="٦ اكتوبر الجيزه "/>
    <m/>
    <x v="0"/>
    <x v="0"/>
    <s v="دورين"/>
    <s v="كينج"/>
    <n v="120"/>
    <x v="6"/>
    <x v="0"/>
    <s v="سرير كينج ١٢٠ بنفسجى "/>
    <n v="13849"/>
    <s v="مسبق الدفع"/>
    <d v="2024-09-13T00:00:00"/>
    <d v="2024-09-30T00:00:00"/>
    <d v="2024-10-20T00:00:00"/>
    <x v="3"/>
    <s v="محمود على "/>
    <x v="0"/>
  </r>
  <r>
    <n v="39"/>
    <n v="1507912"/>
    <n v="1230527"/>
    <s v="هبه عبد الفتاح "/>
    <x v="5"/>
    <s v="القاهره الجديده "/>
    <m/>
    <x v="0"/>
    <x v="2"/>
    <s v="4*1"/>
    <m/>
    <m/>
    <x v="4"/>
    <x v="2"/>
    <s v="كنبه سرير ٤ حركه "/>
    <n v="21999"/>
    <s v="مسبق الدفع"/>
    <d v="2024-09-13T00:00:00"/>
    <d v="2024-09-30T00:00:00"/>
    <m/>
    <x v="0"/>
    <s v="محمود على "/>
    <x v="0"/>
  </r>
  <r>
    <n v="40"/>
    <n v="1525747"/>
    <n v="1234936"/>
    <s v="اسراء ابراهيم "/>
    <x v="0"/>
    <s v="٦ اكتوبر الجيزه "/>
    <m/>
    <x v="0"/>
    <x v="0"/>
    <s v="دورين"/>
    <s v="كيفنج"/>
    <n v="80"/>
    <x v="3"/>
    <x v="0"/>
    <s v="سرير كيفنج دورين مقاس ٨٠ ابيض "/>
    <n v="10999"/>
    <s v="مسبق الدفع"/>
    <d v="2024-09-13T00:00:00"/>
    <d v="2024-09-30T00:00:00"/>
    <d v="2024-10-15T00:00:00"/>
    <x v="2"/>
    <s v="محمود على "/>
    <x v="0"/>
  </r>
  <r>
    <n v="41"/>
    <n v="1536313"/>
    <n v="1237601"/>
    <s v="طارق كمال "/>
    <x v="5"/>
    <s v="المعادى"/>
    <m/>
    <x v="0"/>
    <x v="0"/>
    <s v="ثلاثه ادوار"/>
    <s v="كيفنج"/>
    <n v="90"/>
    <x v="4"/>
    <x v="0"/>
    <s v="سرير ٣ ادوار اسود مقاس ٩٠ "/>
    <n v="17249"/>
    <s v="مسبق الدفع"/>
    <d v="2024-09-13T00:00:00"/>
    <d v="2024-09-30T00:00:00"/>
    <d v="2024-10-04T00:00:00"/>
    <x v="2"/>
    <s v="محمود على "/>
    <x v="0"/>
  </r>
  <r>
    <n v="42"/>
    <n v="1505609"/>
    <n v="1230031"/>
    <s v="ديفد بهجت "/>
    <x v="0"/>
    <s v="فيصل الجيزه"/>
    <m/>
    <x v="0"/>
    <x v="1"/>
    <s v="2 ميكانزم"/>
    <m/>
    <m/>
    <x v="0"/>
    <x v="0"/>
    <s v="تربيزه قهوه ٢ رافع"/>
    <n v="8349"/>
    <s v="مسبق الدفع"/>
    <d v="2024-09-14T00:00:00"/>
    <d v="2024-10-16T00:00:00"/>
    <d v="2024-10-21T00:00:00"/>
    <x v="2"/>
    <s v="محمود على "/>
    <x v="0"/>
  </r>
  <r>
    <n v="43"/>
    <n v="1612229"/>
    <n v="1254076"/>
    <s v="اياد "/>
    <x v="5"/>
    <s v="المقطم "/>
    <m/>
    <x v="0"/>
    <x v="1"/>
    <s v="بمكتبة"/>
    <m/>
    <m/>
    <x v="0"/>
    <x v="0"/>
    <s v="ترابيزه قهوه متحركه "/>
    <n v="7849"/>
    <s v="مسبق الدفع"/>
    <d v="2024-09-14T00:00:00"/>
    <d v="2024-10-29T00:00:00"/>
    <d v="2024-10-30T00:00:00"/>
    <x v="2"/>
    <s v="محمود على "/>
    <x v="0"/>
  </r>
  <r>
    <n v="44"/>
    <n v="1673771"/>
    <n v="1269559"/>
    <s v="ميار خورشد"/>
    <x v="0"/>
    <s v="٦ اكتوبر الجيزه "/>
    <m/>
    <x v="0"/>
    <x v="0"/>
    <s v="منطبق"/>
    <m/>
    <m/>
    <x v="4"/>
    <x v="1"/>
    <s v="سرير منطبق اسود حديد ومعدن "/>
    <n v="9399"/>
    <s v="مسبق الدفع "/>
    <d v="2024-09-14T00:00:00"/>
    <d v="2024-10-29T00:00:00"/>
    <d v="2024-10-15T00:00:00"/>
    <x v="1"/>
    <s v="محمود على "/>
    <x v="0"/>
  </r>
  <r>
    <n v="45"/>
    <n v="1667352"/>
    <n v="1267819"/>
    <s v="عبد الله سيد "/>
    <x v="0"/>
    <s v="الشيخ زايد ٦ اكتوبر "/>
    <m/>
    <x v="0"/>
    <x v="0"/>
    <s v="فردى"/>
    <s v="اسبانى"/>
    <n v="140"/>
    <x v="4"/>
    <x v="0"/>
    <s v="سرير اسبانى  ١٤٠ اسود وبيج "/>
    <n v="11817"/>
    <s v="مسبق الدفع "/>
    <d v="2024-09-14T00:00:00"/>
    <d v="2024-10-29T00:00:00"/>
    <d v="2024-10-15T00:00:00"/>
    <x v="1"/>
    <s v="محمود على "/>
    <x v="0"/>
  </r>
  <r>
    <n v="46"/>
    <n v="1649781"/>
    <n v="1263160"/>
    <s v="كينج سونا "/>
    <x v="5"/>
    <s v="الشروق"/>
    <m/>
    <x v="0"/>
    <x v="1"/>
    <s v="رف سحاب"/>
    <m/>
    <m/>
    <x v="0"/>
    <x v="0"/>
    <s v="تربيزه قهوه مرتفعه برف سحاب "/>
    <n v="8349"/>
    <s v="مسبق الدفع "/>
    <d v="2024-09-14T00:00:00"/>
    <d v="2024-10-29T00:00:00"/>
    <d v="2024-10-19T00:00:00"/>
    <x v="1"/>
    <s v="محمود على "/>
    <x v="0"/>
  </r>
  <r>
    <n v="47"/>
    <n v="1681476"/>
    <n v="1271813"/>
    <s v="احمد خالد "/>
    <x v="5"/>
    <s v="الرحاب"/>
    <m/>
    <x v="0"/>
    <x v="0"/>
    <s v="فردى"/>
    <s v="فورجينا"/>
    <n v="120"/>
    <x v="3"/>
    <x v="0"/>
    <s v=" ٢. سرير فورجينا ابيض مقاس ١٢٠"/>
    <n v="17886"/>
    <s v="مسبق الدفع "/>
    <d v="2024-09-14T00:00:00"/>
    <d v="2024-10-29T00:00:00"/>
    <m/>
    <x v="0"/>
    <m/>
    <x v="2"/>
  </r>
  <r>
    <n v="48"/>
    <n v="1677530"/>
    <n v="1270704"/>
    <s v="ساره"/>
    <x v="5"/>
    <s v="القاهره الجديده"/>
    <m/>
    <x v="0"/>
    <x v="0"/>
    <s v="فردى"/>
    <s v="اسبانى"/>
    <n v="120"/>
    <x v="3"/>
    <x v="0"/>
    <s v="   ٢. سرير اسبانى ابيض ١٢٠"/>
    <n v="10987"/>
    <s v="مسبق الدفع"/>
    <d v="2024-09-14T00:00:00"/>
    <d v="2024-10-29T00:00:00"/>
    <d v="2024-10-13T00:00:00"/>
    <x v="1"/>
    <s v="محمود على "/>
    <x v="0"/>
  </r>
  <r>
    <n v="49"/>
    <n v="1657744"/>
    <n v="1265268"/>
    <s v="احمد ايمن "/>
    <x v="6"/>
    <s v="العبور"/>
    <m/>
    <x v="0"/>
    <x v="1"/>
    <s v="2 ميكانزم"/>
    <m/>
    <m/>
    <x v="0"/>
    <x v="0"/>
    <s v="ترابيزه قهوه علويه جديده "/>
    <n v="10319"/>
    <s v="مسبق الدفع"/>
    <d v="2024-09-14T00:00:00"/>
    <d v="2024-10-29T00:00:00"/>
    <d v="2024-10-19T00:00:00"/>
    <x v="1"/>
    <s v="محمود على "/>
    <x v="0"/>
  </r>
  <r>
    <n v="50"/>
    <n v="1610613"/>
    <n v="1253646"/>
    <s v="مصطفي غنيم "/>
    <x v="8"/>
    <s v="اسيوط "/>
    <m/>
    <x v="0"/>
    <x v="0"/>
    <s v="دورين"/>
    <s v="كيفنج"/>
    <n v="120"/>
    <x v="2"/>
    <x v="0"/>
    <s v="سرير كيفنج دورين مقاس ١٢٠ رمادى "/>
    <n v="12999"/>
    <s v="مسبق الدفع "/>
    <d v="2024-09-14T00:00:00"/>
    <d v="2024-11-20T00:00:00"/>
    <d v="2024-10-17T00:00:00"/>
    <x v="1"/>
    <s v="شركه شحن "/>
    <x v="0"/>
  </r>
  <r>
    <n v="51"/>
    <n v="1608468"/>
    <n v="1253172"/>
    <s v="حسام عبدون"/>
    <x v="3"/>
    <s v="الغردقه"/>
    <m/>
    <x v="0"/>
    <x v="2"/>
    <s v="4*1"/>
    <m/>
    <m/>
    <x v="4"/>
    <x v="2"/>
    <s v="كنبه سرير ٤ حركه "/>
    <n v="21999"/>
    <s v="مسبق الدفع"/>
    <d v="2024-09-14T00:00:00"/>
    <d v="2024-11-20T00:00:00"/>
    <m/>
    <x v="0"/>
    <m/>
    <x v="2"/>
  </r>
  <r>
    <n v="52"/>
    <n v="1654554"/>
    <n v="1264469"/>
    <s v="رامى "/>
    <x v="5"/>
    <s v="الشروق"/>
    <m/>
    <x v="0"/>
    <x v="0"/>
    <s v="دورين"/>
    <s v="نوفال"/>
    <n v="100"/>
    <x v="2"/>
    <x v="0"/>
    <s v="سرير نوفال ١٠٠ رمادى "/>
    <n v="12399"/>
    <s v="مسبق الدفع"/>
    <d v="2024-09-14T00:00:00"/>
    <d v="2024-11-20T00:00:00"/>
    <d v="2024-10-01T00:00:00"/>
    <x v="1"/>
    <s v="شركه شحن "/>
    <x v="0"/>
  </r>
  <r>
    <n v="53"/>
    <n v="1644504"/>
    <n v="1261644"/>
    <s v="رحاب"/>
    <x v="5"/>
    <s v="القاهره الجديده"/>
    <m/>
    <x v="0"/>
    <x v="2"/>
    <s v="4*1"/>
    <m/>
    <m/>
    <x v="4"/>
    <x v="2"/>
    <s v="كنبه سرير ٤ حركه "/>
    <n v="21999"/>
    <s v="مسبق الدفع"/>
    <d v="2024-09-14T00:00:00"/>
    <d v="2024-11-20T00:00:00"/>
    <d v="2024-10-09T00:00:00"/>
    <x v="1"/>
    <s v="محمود على "/>
    <x v="0"/>
  </r>
  <r>
    <n v="54"/>
    <n v="1655447"/>
    <n v="1264684"/>
    <s v="فؤاد المنسي "/>
    <x v="5"/>
    <s v="المقطم "/>
    <m/>
    <x v="0"/>
    <x v="0"/>
    <s v="دورين"/>
    <s v="نوفال"/>
    <n v="80"/>
    <x v="3"/>
    <x v="0"/>
    <s v="سرير نوفال مقاس ٨٠ ابيض "/>
    <n v="10999"/>
    <s v="مسبق الدفع "/>
    <d v="2024-09-14T00:00:00"/>
    <d v="2024-11-20T00:00:00"/>
    <d v="2024-10-16T00:00:00"/>
    <x v="1"/>
    <s v="محمود على "/>
    <x v="0"/>
  </r>
  <r>
    <n v="55"/>
    <n v="1679731"/>
    <n v="1271291"/>
    <s v="mohannad"/>
    <x v="5"/>
    <s v="EL-Maadi"/>
    <m/>
    <x v="0"/>
    <x v="0"/>
    <s v="دورين"/>
    <s v="كيفنج"/>
    <n v="80"/>
    <x v="3"/>
    <x v="0"/>
    <m/>
    <n v="10999"/>
    <s v="مسبق الدفع "/>
    <d v="2024-09-15T00:00:00"/>
    <d v="2024-11-20T00:00:00"/>
    <d v="2024-10-16T00:00:00"/>
    <x v="1"/>
    <s v="محمود على "/>
    <x v="0"/>
  </r>
  <r>
    <n v="56"/>
    <n v="1670668"/>
    <n v="1268695"/>
    <s v="Mohamed Ayman"/>
    <x v="5"/>
    <s v="Madinet Badr"/>
    <m/>
    <x v="0"/>
    <x v="2"/>
    <s v="4*1"/>
    <m/>
    <m/>
    <x v="4"/>
    <x v="2"/>
    <m/>
    <n v="21999"/>
    <s v="مسبق الدفع "/>
    <d v="2024-09-15T00:00:00"/>
    <d v="2024-11-20T00:00:00"/>
    <d v="2024-10-19T00:00:00"/>
    <x v="1"/>
    <s v="محمود على "/>
    <x v="0"/>
  </r>
  <r>
    <n v="57"/>
    <n v="1416625"/>
    <n v="1205197"/>
    <s v="اسامه"/>
    <x v="7"/>
    <s v="العين السخنه"/>
    <m/>
    <x v="0"/>
    <x v="1"/>
    <s v="2 ميكانزم"/>
    <m/>
    <m/>
    <x v="0"/>
    <x v="0"/>
    <m/>
    <n v="7849"/>
    <n v="6306"/>
    <d v="2024-09-16T00:00:00"/>
    <d v="2024-10-30T00:00:00"/>
    <d v="2024-11-14T00:00:00"/>
    <x v="2"/>
    <s v="شركه شحن "/>
    <x v="0"/>
  </r>
  <r>
    <n v="58"/>
    <s v="MO_1004"/>
    <m/>
    <s v="اوسكار راتن"/>
    <x v="6"/>
    <s v="المخزن ابو الغيط "/>
    <m/>
    <x v="4"/>
    <x v="0"/>
    <s v="دورين"/>
    <s v="كيفنج"/>
    <n v="80"/>
    <x v="3"/>
    <x v="0"/>
    <m/>
    <n v="5074"/>
    <s v="حساب شركه"/>
    <d v="2024-09-21T00:00:00"/>
    <d v="2024-10-05T00:00:00"/>
    <d v="2024-10-12T00:00:00"/>
    <x v="2"/>
    <s v="محمود على "/>
    <x v="0"/>
  </r>
  <r>
    <n v="59"/>
    <s v="ms_1005"/>
    <n v="2514"/>
    <s v="تاكى "/>
    <x v="5"/>
    <s v="العباسيه"/>
    <m/>
    <x v="3"/>
    <x v="0"/>
    <s v="دورين"/>
    <s v="كينج"/>
    <n v="100"/>
    <x v="7"/>
    <x v="0"/>
    <m/>
    <n v="6250"/>
    <s v="حساب شركه"/>
    <d v="2024-09-23T00:00:00"/>
    <d v="2024-10-08T00:00:00"/>
    <d v="2024-10-17T00:00:00"/>
    <x v="2"/>
    <s v="محمود على "/>
    <x v="0"/>
  </r>
  <r>
    <n v="60"/>
    <s v="ms_1006"/>
    <n v="1281428"/>
    <s v="ولاء بدوى"/>
    <x v="5"/>
    <s v="العباسيه"/>
    <m/>
    <x v="0"/>
    <x v="0"/>
    <s v="فردى"/>
    <s v="فورجينا"/>
    <n v="120"/>
    <x v="3"/>
    <x v="0"/>
    <m/>
    <n v="8943"/>
    <n v="9033"/>
    <d v="2024-09-26T00:00:00"/>
    <d v="2024-11-10T00:00:00"/>
    <d v="2024-10-10T00:00:00"/>
    <x v="1"/>
    <s v="محمود على "/>
    <x v="0"/>
  </r>
  <r>
    <n v="61"/>
    <n v="1704621"/>
    <n v="1280197"/>
    <s v="عبد الرحمن يسري"/>
    <x v="0"/>
    <s v="اكتوبر الجيزه"/>
    <m/>
    <x v="0"/>
    <x v="1"/>
    <s v="رف سحاب"/>
    <m/>
    <m/>
    <x v="0"/>
    <x v="0"/>
    <m/>
    <n v="8349"/>
    <n v="8433"/>
    <d v="2024-09-26T00:00:00"/>
    <d v="2024-11-10T00:00:00"/>
    <m/>
    <x v="0"/>
    <m/>
    <x v="2"/>
  </r>
  <r>
    <n v="62"/>
    <n v="240078066"/>
    <m/>
    <s v="شيك هومز "/>
    <x v="5"/>
    <s v="التجمع"/>
    <m/>
    <x v="1"/>
    <x v="2"/>
    <s v="4*1"/>
    <m/>
    <m/>
    <x v="0"/>
    <x v="3"/>
    <m/>
    <n v="14950"/>
    <s v="مسبق الدفع"/>
    <d v="2024-09-26T00:00:00"/>
    <d v="2024-10-14T00:00:00"/>
    <d v="2024-10-13T00:00:00"/>
    <x v="1"/>
    <s v="محمود على "/>
    <x v="0"/>
  </r>
  <r>
    <n v="63"/>
    <n v="240077789"/>
    <m/>
    <s v="شيك هومز "/>
    <x v="4"/>
    <m/>
    <m/>
    <x v="1"/>
    <x v="0"/>
    <s v="دورين"/>
    <s v="كينج"/>
    <n v="100"/>
    <x v="4"/>
    <x v="0"/>
    <m/>
    <n v="9208"/>
    <n v="9608"/>
    <d v="2024-09-26T00:00:00"/>
    <d v="2024-10-14T00:00:00"/>
    <m/>
    <x v="0"/>
    <m/>
    <x v="2"/>
  </r>
  <r>
    <n v="64"/>
    <n v="240078390"/>
    <m/>
    <s v="شيك هومز "/>
    <x v="4"/>
    <m/>
    <m/>
    <x v="1"/>
    <x v="0"/>
    <s v="فردى"/>
    <s v="اسبانى"/>
    <n v="120"/>
    <x v="3"/>
    <x v="0"/>
    <m/>
    <n v="7433"/>
    <s v="مسبق الدفع"/>
    <d v="2024-09-29T00:00:00"/>
    <d v="2024-10-20T00:00:00"/>
    <d v="2024-10-21T00:00:00"/>
    <x v="2"/>
    <s v="محمود على "/>
    <x v="0"/>
  </r>
  <r>
    <n v="65"/>
    <s v="MO_1005"/>
    <m/>
    <s v="اوسكار راتن"/>
    <x v="6"/>
    <s v="المخزن ابو الغيط "/>
    <m/>
    <x v="4"/>
    <x v="0"/>
    <s v="فردى"/>
    <s v="فورجينا"/>
    <n v="120"/>
    <x v="3"/>
    <x v="0"/>
    <m/>
    <n v="4020"/>
    <s v="حساب شركه"/>
    <d v="2024-09-29T00:00:00"/>
    <d v="2024-10-12T00:00:00"/>
    <d v="2024-10-12T00:00:00"/>
    <x v="0"/>
    <s v="محمود على "/>
    <x v="0"/>
  </r>
  <r>
    <n v="66"/>
    <s v="Msu_1001"/>
    <m/>
    <s v="الحج محمد السويس"/>
    <x v="7"/>
    <s v="السويس "/>
    <m/>
    <x v="5"/>
    <x v="0"/>
    <s v="دورين"/>
    <s v="فانتستيك"/>
    <n v="100"/>
    <x v="8"/>
    <x v="0"/>
    <m/>
    <n v="8544.9054400000005"/>
    <m/>
    <d v="2024-10-01T00:00:00"/>
    <d v="2024-10-09T00:00:00"/>
    <d v="2024-10-09T00:00:00"/>
    <x v="0"/>
    <s v="الحج سيد "/>
    <x v="0"/>
  </r>
  <r>
    <n v="67"/>
    <s v="Msu_1002"/>
    <m/>
    <s v="الحج محمد السويس"/>
    <x v="7"/>
    <s v="السويس "/>
    <m/>
    <x v="5"/>
    <x v="0"/>
    <s v="منطبق"/>
    <m/>
    <m/>
    <x v="4"/>
    <x v="4"/>
    <m/>
    <n v="4600"/>
    <m/>
    <d v="2024-10-01T00:00:00"/>
    <d v="2024-10-09T00:00:00"/>
    <d v="2024-10-09T00:00:00"/>
    <x v="0"/>
    <s v="الحج سيد "/>
    <x v="0"/>
  </r>
  <r>
    <n v="68"/>
    <s v="Msu_1003"/>
    <m/>
    <s v="الحج محمد السويس"/>
    <x v="7"/>
    <s v="السويس "/>
    <m/>
    <x v="5"/>
    <x v="2"/>
    <s v="فينيسيا"/>
    <m/>
    <m/>
    <x v="4"/>
    <x v="5"/>
    <m/>
    <n v="10000"/>
    <m/>
    <d v="2024-10-01T00:00:00"/>
    <d v="2024-10-09T00:00:00"/>
    <d v="2024-10-09T00:00:00"/>
    <x v="0"/>
    <s v="الحج سيد "/>
    <x v="0"/>
  </r>
  <r>
    <n v="69"/>
    <s v="Msu_1004"/>
    <m/>
    <s v="الحج محمد السويس"/>
    <x v="7"/>
    <s v="السويس "/>
    <m/>
    <x v="5"/>
    <x v="5"/>
    <m/>
    <m/>
    <m/>
    <x v="4"/>
    <x v="3"/>
    <m/>
    <m/>
    <m/>
    <d v="2024-10-01T00:00:00"/>
    <d v="2024-10-09T00:00:00"/>
    <d v="2024-10-09T00:00:00"/>
    <x v="0"/>
    <s v="الحج سيد "/>
    <x v="0"/>
  </r>
  <r>
    <n v="70"/>
    <n v="1282228"/>
    <n v="1708226"/>
    <s v="عمرو الأسود"/>
    <x v="0"/>
    <s v="الزمالك"/>
    <m/>
    <x v="0"/>
    <x v="0"/>
    <s v="منطبق"/>
    <m/>
    <m/>
    <x v="4"/>
    <x v="1"/>
    <m/>
    <n v="8899"/>
    <n v="8988"/>
    <d v="2024-10-03T00:00:00"/>
    <d v="2024-11-17T00:00:00"/>
    <m/>
    <x v="0"/>
    <m/>
    <x v="5"/>
  </r>
  <r>
    <n v="71"/>
    <n v="240079328"/>
    <m/>
    <s v="شيك هومز "/>
    <x v="4"/>
    <s v="مخزن شيك هومز"/>
    <m/>
    <x v="1"/>
    <x v="2"/>
    <s v="4*1"/>
    <m/>
    <m/>
    <x v="4"/>
    <x v="6"/>
    <m/>
    <n v="14550"/>
    <s v="مسبق الدفع"/>
    <d v="2024-10-08T00:00:00"/>
    <d v="2024-10-29T00:00:00"/>
    <d v="2024-10-30T00:00:00"/>
    <x v="2"/>
    <s v="محمود على "/>
    <x v="0"/>
  </r>
  <r>
    <n v="72"/>
    <n v="240078933"/>
    <m/>
    <s v="شيك هومز "/>
    <x v="0"/>
    <s v="أكتوبر "/>
    <m/>
    <x v="1"/>
    <x v="2"/>
    <s v="4*1"/>
    <m/>
    <m/>
    <x v="4"/>
    <x v="6"/>
    <m/>
    <n v="14550"/>
    <s v="مسبق الدفع"/>
    <d v="2024-10-07T00:00:00"/>
    <d v="2024-10-29T00:00:00"/>
    <d v="2024-10-15T00:00:00"/>
    <x v="1"/>
    <s v="محمود على "/>
    <x v="0"/>
  </r>
  <r>
    <n v="73"/>
    <n v="240079517"/>
    <m/>
    <s v="شيك هومز "/>
    <x v="4"/>
    <m/>
    <m/>
    <x v="1"/>
    <x v="2"/>
    <s v="4*1"/>
    <m/>
    <m/>
    <x v="4"/>
    <x v="3"/>
    <m/>
    <n v="14550"/>
    <n v="11495"/>
    <d v="2024-10-10T00:00:00"/>
    <d v="2024-10-31T00:00:00"/>
    <d v="2024-11-02T00:00:00"/>
    <x v="2"/>
    <s v="محمود على "/>
    <x v="0"/>
  </r>
  <r>
    <n v="74"/>
    <n v="1714623"/>
    <n v="1284697"/>
    <s v="keira"/>
    <x v="5"/>
    <s v="القاهره الجديده "/>
    <m/>
    <x v="0"/>
    <x v="0"/>
    <s v="دورين"/>
    <s v="نوفال "/>
    <s v="100/140"/>
    <x v="9"/>
    <x v="0"/>
    <m/>
    <n v="12899"/>
    <n v="13028"/>
    <d v="2024-10-13T00:00:00"/>
    <d v="2024-12-17T00:00:00"/>
    <d v="2024-11-02T00:00:00"/>
    <x v="1"/>
    <s v="محمود على "/>
    <x v="0"/>
  </r>
  <r>
    <n v="75"/>
    <n v="1715473"/>
    <n v="1285152"/>
    <s v="tarek"/>
    <x v="5"/>
    <s v="مصر الجديده"/>
    <m/>
    <x v="0"/>
    <x v="0"/>
    <s v="دورين"/>
    <s v="كيفنج"/>
    <n v="80"/>
    <x v="3"/>
    <x v="0"/>
    <m/>
    <n v="10499"/>
    <s v="مسبق الدفع"/>
    <d v="2024-10-16T00:00:00"/>
    <d v="2024-12-19T00:00:00"/>
    <d v="2024-10-21T00:00:00"/>
    <x v="1"/>
    <s v="محمود على "/>
    <x v="0"/>
  </r>
  <r>
    <n v="76"/>
    <n v="1715992"/>
    <n v="1285423"/>
    <s v="reem"/>
    <x v="1"/>
    <s v="البطاش اسكندريه"/>
    <m/>
    <x v="0"/>
    <x v="0"/>
    <s v="دورين"/>
    <s v="نوفال"/>
    <s v="100/140"/>
    <x v="9"/>
    <x v="0"/>
    <m/>
    <n v="12899"/>
    <s v="مسبق الدفع"/>
    <d v="2024-10-17T00:00:00"/>
    <d v="2024-12-22T00:00:00"/>
    <d v="2024-12-03T00:00:00"/>
    <x v="1"/>
    <s v="شركه شحن "/>
    <x v="0"/>
  </r>
  <r>
    <n v="77"/>
    <s v="s03163"/>
    <m/>
    <s v="هشام سامى"/>
    <x v="5"/>
    <s v="41 كومبوند جولدن جستس الدور 4 شقه 4"/>
    <n v="1211691428"/>
    <x v="6"/>
    <x v="0"/>
    <s v="فردى"/>
    <s v="بلحه"/>
    <n v="140"/>
    <x v="10"/>
    <x v="7"/>
    <m/>
    <n v="5135"/>
    <s v="مسبق الدفع"/>
    <d v="2024-10-20T00:00:00"/>
    <d v="2024-11-17T00:00:00"/>
    <d v="2024-11-14T00:00:00"/>
    <x v="1"/>
    <s v="محمود على "/>
    <x v="0"/>
  </r>
  <r>
    <n v="78"/>
    <n v="240080607"/>
    <m/>
    <s v="شيك هومز "/>
    <x v="0"/>
    <s v="اكتوبر الجيزه"/>
    <m/>
    <x v="1"/>
    <x v="0"/>
    <s v="دورين"/>
    <s v="فانتستيك"/>
    <n v="100"/>
    <x v="8"/>
    <x v="0"/>
    <m/>
    <n v="12777.5"/>
    <n v="11277.5"/>
    <d v="2024-10-22T00:00:00"/>
    <d v="2024-11-12T00:00:00"/>
    <d v="2024-11-18T00:00:00"/>
    <x v="2"/>
    <s v="محمود على "/>
    <x v="0"/>
  </r>
  <r>
    <n v="79"/>
    <s v="MO_1006"/>
    <m/>
    <s v="اوسكار راتن"/>
    <x v="5"/>
    <s v="المعرض مدينه نصر"/>
    <m/>
    <x v="4"/>
    <x v="0"/>
    <s v="دورين"/>
    <s v="فانتستيك"/>
    <n v="100"/>
    <x v="8"/>
    <x v="0"/>
    <m/>
    <n v="8544.91"/>
    <s v="حساب شركه"/>
    <d v="2024-10-22T00:00:00"/>
    <m/>
    <m/>
    <x v="0"/>
    <m/>
    <x v="6"/>
  </r>
  <r>
    <n v="80"/>
    <n v="1717458"/>
    <n v="1286189"/>
    <s v="فاطمه محمد"/>
    <x v="0"/>
    <s v="أكتوبر الجيزه"/>
    <m/>
    <x v="0"/>
    <x v="0"/>
    <s v="فردى"/>
    <s v="فورجينا"/>
    <n v="120"/>
    <x v="3"/>
    <x v="0"/>
    <m/>
    <n v="8943"/>
    <n v="9007.01"/>
    <d v="2024-10-21T00:00:00"/>
    <d v="2024-11-14T00:00:00"/>
    <d v="2024-11-18T00:00:00"/>
    <x v="2"/>
    <s v="محمود على "/>
    <x v="0"/>
  </r>
  <r>
    <n v="81"/>
    <n v="240080858"/>
    <m/>
    <s v="شيك هومز "/>
    <x v="4"/>
    <m/>
    <m/>
    <x v="1"/>
    <x v="2"/>
    <s v="4*1"/>
    <m/>
    <m/>
    <x v="4"/>
    <x v="0"/>
    <m/>
    <n v="15516"/>
    <s v="مسبق الدفع"/>
    <d v="2024-10-24T00:00:00"/>
    <d v="2024-11-14T00:00:00"/>
    <d v="2024-10-30T00:00:00"/>
    <x v="1"/>
    <s v="محمود على "/>
    <x v="0"/>
  </r>
  <r>
    <n v="82"/>
    <n v="240081061"/>
    <m/>
    <s v="شيك هومز "/>
    <x v="4"/>
    <m/>
    <m/>
    <x v="1"/>
    <x v="0"/>
    <s v="دورين"/>
    <s v="كينج"/>
    <n v="100"/>
    <x v="4"/>
    <x v="0"/>
    <m/>
    <n v="10045"/>
    <n v="8879"/>
    <d v="2024-10-26T00:00:00"/>
    <d v="2024-11-16T00:00:00"/>
    <m/>
    <x v="0"/>
    <m/>
    <x v="2"/>
  </r>
  <r>
    <n v="83"/>
    <n v="1718948"/>
    <n v="1286883"/>
    <s v="ساره"/>
    <x v="0"/>
    <s v="الشيخ زايد اكتوبر"/>
    <m/>
    <x v="0"/>
    <x v="0"/>
    <s v="دورين"/>
    <s v="كينج"/>
    <n v="90"/>
    <x v="4"/>
    <x v="0"/>
    <m/>
    <n v="11649"/>
    <n v="11749"/>
    <d v="2024-10-26T00:00:00"/>
    <d v="2024-11-10T00:00:00"/>
    <d v="2024-11-18T00:00:00"/>
    <x v="2"/>
    <s v="محمود على "/>
    <x v="0"/>
  </r>
  <r>
    <n v="84"/>
    <s v="MHM-1001"/>
    <m/>
    <s v="بولا هومزمارت"/>
    <x v="5"/>
    <s v="المعادى"/>
    <m/>
    <x v="7"/>
    <x v="0"/>
    <s v="فردى"/>
    <s v="اسبانى"/>
    <n v="100"/>
    <x v="3"/>
    <x v="0"/>
    <m/>
    <n v="4800"/>
    <n v="4800"/>
    <d v="2024-10-28T00:00:00"/>
    <d v="2024-11-11T00:00:00"/>
    <d v="2024-11-21T00:00:00"/>
    <x v="2"/>
    <s v="محمود على "/>
    <x v="0"/>
  </r>
  <r>
    <n v="85"/>
    <s v="MHM-1002"/>
    <m/>
    <s v="بولا هومزمارت"/>
    <x v="5"/>
    <s v="المعادى"/>
    <m/>
    <x v="7"/>
    <x v="0"/>
    <s v="فردى"/>
    <s v="اسبانى"/>
    <n v="120"/>
    <x v="3"/>
    <x v="0"/>
    <m/>
    <n v="5000"/>
    <n v="4800"/>
    <d v="2024-10-28T00:00:00"/>
    <d v="2024-11-11T00:00:00"/>
    <d v="2024-11-21T00:00:00"/>
    <x v="2"/>
    <s v="محمود على "/>
    <x v="0"/>
  </r>
  <r>
    <n v="86"/>
    <n v="1744766"/>
    <n v="1298738"/>
    <s v="محمد شكرى "/>
    <x v="5"/>
    <s v="مدينتى"/>
    <m/>
    <x v="0"/>
    <x v="0"/>
    <s v="دورين"/>
    <s v="كيفنج"/>
    <n v="80"/>
    <x v="3"/>
    <x v="0"/>
    <m/>
    <n v="12099"/>
    <s v="مسبق الدفع"/>
    <d v="2024-11-11T00:00:00"/>
    <d v="2024-11-26T00:00:00"/>
    <d v="2024-11-27T00:00:00"/>
    <x v="2"/>
    <s v="محمود على "/>
    <x v="0"/>
  </r>
  <r>
    <n v="87"/>
    <n v="240082226"/>
    <m/>
    <s v="شيك هومز"/>
    <x v="4"/>
    <s v="مخزن شيك هومز"/>
    <m/>
    <x v="1"/>
    <x v="2"/>
    <s v="4*1"/>
    <s v="ارينا"/>
    <m/>
    <x v="4"/>
    <x v="8"/>
    <m/>
    <n v="15872"/>
    <s v="مسبق"/>
    <d v="2024-11-08T00:00:00"/>
    <d v="2024-03-12T00:00:00"/>
    <d v="2024-11-14T00:00:00"/>
    <x v="3"/>
    <s v="محمود على "/>
    <x v="0"/>
  </r>
  <r>
    <n v="88"/>
    <s v="so3290"/>
    <m/>
    <s v="منزلى"/>
    <x v="5"/>
    <s v="التجمع الخامس"/>
    <m/>
    <x v="6"/>
    <x v="0"/>
    <s v="فردى"/>
    <s v="فورجينا"/>
    <n v="120"/>
    <x v="3"/>
    <x v="0"/>
    <m/>
    <n v="4520"/>
    <s v="حساب شركه"/>
    <d v="2024-11-10T00:00:00"/>
    <d v="2024-11-22T00:00:00"/>
    <d v="2024-11-21T00:00:00"/>
    <x v="1"/>
    <s v="محمود على "/>
    <x v="0"/>
  </r>
  <r>
    <n v="89"/>
    <s v="s_6725"/>
    <m/>
    <s v="اوسكار راتن"/>
    <x v="6"/>
    <s v="المخزن ابو الغيط "/>
    <m/>
    <x v="4"/>
    <x v="0"/>
    <s v="دورين"/>
    <s v="كينج"/>
    <n v="90"/>
    <x v="4"/>
    <x v="0"/>
    <m/>
    <n v="5766"/>
    <s v="حساب شركه"/>
    <d v="2024-11-12T00:00:00"/>
    <d v="2024-11-26T00:00:00"/>
    <d v="2024-11-25T00:00:00"/>
    <x v="1"/>
    <s v="محمود على "/>
    <x v="0"/>
  </r>
  <r>
    <n v="90"/>
    <n v="1752544"/>
    <n v="1302011"/>
    <s v="حماده"/>
    <x v="5"/>
    <s v="المعادى"/>
    <m/>
    <x v="0"/>
    <x v="0"/>
    <s v="فردى"/>
    <s v="فورجينا"/>
    <n v="160"/>
    <x v="6"/>
    <x v="0"/>
    <m/>
    <n v="11395"/>
    <s v="مسبق الدفع"/>
    <d v="2024-11-12T00:00:00"/>
    <d v="2024-11-24T00:00:00"/>
    <d v="2024-11-27T00:00:00"/>
    <x v="2"/>
    <s v="محمود على "/>
    <x v="0"/>
  </r>
  <r>
    <n v="91"/>
    <n v="1755075"/>
    <n v="1303159"/>
    <s v="صفاء عبد الباقي"/>
    <x v="5"/>
    <s v="التجمع الخامس"/>
    <m/>
    <x v="0"/>
    <x v="0"/>
    <s v="دورين"/>
    <s v="كينج "/>
    <n v="80"/>
    <x v="3"/>
    <x v="0"/>
    <m/>
    <n v="12919"/>
    <s v="مسبق الدفع"/>
    <d v="2024-11-14T00:00:00"/>
    <d v="2024-11-30T00:00:00"/>
    <d v="2024-11-27T00:00:00"/>
    <x v="1"/>
    <s v="محمود على "/>
    <x v="0"/>
  </r>
  <r>
    <n v="92"/>
    <s v="s_6806"/>
    <m/>
    <s v="اوسكار راتن"/>
    <x v="6"/>
    <s v="المخزن ابو الغيط "/>
    <m/>
    <x v="4"/>
    <x v="6"/>
    <s v="دورين"/>
    <s v="نوفال"/>
    <n v="120"/>
    <x v="2"/>
    <x v="0"/>
    <m/>
    <n v="6376"/>
    <s v="حساب شركه"/>
    <d v="2024-11-14T00:00:00"/>
    <d v="2024-11-27T00:00:00"/>
    <d v="2024-11-25T00:00:00"/>
    <x v="1"/>
    <s v="محمود على "/>
    <x v="0"/>
  </r>
  <r>
    <n v="93"/>
    <s v="s-6626"/>
    <m/>
    <s v="اوسكار راتن"/>
    <x v="4"/>
    <s v="المخزن"/>
    <m/>
    <x v="4"/>
    <x v="0"/>
    <s v="دورين "/>
    <s v="نوفال"/>
    <n v="90"/>
    <x v="4"/>
    <x v="0"/>
    <m/>
    <n v="5294"/>
    <s v="حساب شركه"/>
    <d v="2024-11-14T00:00:00"/>
    <d v="2024-11-27T00:00:00"/>
    <d v="2024-11-25T00:00:00"/>
    <x v="1"/>
    <s v="محمود على "/>
    <x v="0"/>
  </r>
  <r>
    <n v="94"/>
    <n v="265453625"/>
    <m/>
    <s v="رندا العامرى "/>
    <x v="0"/>
    <s v="٦ اكتوبر الجيزه "/>
    <n v="1277038843"/>
    <x v="8"/>
    <x v="6"/>
    <s v="دورين "/>
    <s v="كيفنج "/>
    <n v="80"/>
    <x v="3"/>
    <x v="0"/>
    <m/>
    <n v="7396"/>
    <s v="مسبق الدفع"/>
    <d v="2024-11-17T00:00:00"/>
    <d v="2024-11-28T00:00:00"/>
    <d v="2024-11-26T00:00:00"/>
    <x v="1"/>
    <s v="محمود على "/>
    <x v="0"/>
  </r>
  <r>
    <n v="95"/>
    <n v="1762617"/>
    <n v="1306879"/>
    <s v="ساره"/>
    <x v="0"/>
    <s v="٦ اكتوبر الجيزه"/>
    <m/>
    <x v="0"/>
    <x v="0"/>
    <s v="دورين"/>
    <s v="كينج"/>
    <n v="90"/>
    <x v="4"/>
    <x v="0"/>
    <m/>
    <n v="13439"/>
    <n v="13575"/>
    <d v="2024-11-20T00:00:00"/>
    <d v="2024-12-05T00:00:00"/>
    <d v="2024-11-26T00:00:00"/>
    <x v="1"/>
    <s v="محمود على "/>
    <x v="0"/>
  </r>
  <r>
    <n v="96"/>
    <s v="MST_1006"/>
    <m/>
    <s v="تاكى "/>
    <x v="5"/>
    <s v="العباسيه "/>
    <m/>
    <x v="3"/>
    <x v="0"/>
    <s v="فردى "/>
    <s v="امريكى"/>
    <n v="160"/>
    <x v="4"/>
    <x v="0"/>
    <m/>
    <n v="5100"/>
    <s v="حساب شركه"/>
    <d v="2024-11-14T00:00:00"/>
    <d v="2024-12-08T00:00:00"/>
    <m/>
    <x v="0"/>
    <m/>
    <x v="5"/>
  </r>
  <r>
    <n v="97"/>
    <s v="MS_1001"/>
    <m/>
    <s v="محمد حمدى"/>
    <x v="5"/>
    <s v="مصر الجديده"/>
    <m/>
    <x v="2"/>
    <x v="6"/>
    <s v="فردى"/>
    <s v="كوين "/>
    <n v="160"/>
    <x v="5"/>
    <x v="9"/>
    <m/>
    <n v="5700"/>
    <n v="5800"/>
    <d v="2024-11-22T00:00:00"/>
    <d v="2024-12-02T00:00:00"/>
    <d v="2024-11-27T00:00:00"/>
    <x v="1"/>
    <s v="محمود على "/>
    <x v="0"/>
  </r>
  <r>
    <n v="98"/>
    <n v="1765451"/>
    <n v="1308241"/>
    <s v="بافلى هانى "/>
    <x v="5"/>
    <s v="شبرا "/>
    <m/>
    <x v="0"/>
    <x v="0"/>
    <s v="فردى "/>
    <s v="اسبانى "/>
    <n v="120"/>
    <x v="2"/>
    <x v="0"/>
    <m/>
    <n v="10885"/>
    <n v="7965"/>
    <d v="2024-11-24T00:00:00"/>
    <d v="2024-12-05T00:00:00"/>
    <d v="2024-12-10T00:00:00"/>
    <x v="2"/>
    <s v="محمود على "/>
    <x v="0"/>
  </r>
  <r>
    <n v="99"/>
    <s v="MST_1007"/>
    <m/>
    <s v="تاكى "/>
    <x v="5"/>
    <s v="العباسيه "/>
    <m/>
    <x v="3"/>
    <x v="2"/>
    <s v="t1"/>
    <s v="t1"/>
    <m/>
    <x v="0"/>
    <x v="0"/>
    <m/>
    <n v="6000"/>
    <n v="6000"/>
    <d v="2024-11-19T00:00:00"/>
    <d v="2024-12-05T00:00:00"/>
    <d v="2024-11-20T00:00:00"/>
    <x v="1"/>
    <s v="م محمد "/>
    <x v="0"/>
  </r>
  <r>
    <n v="100"/>
    <n v="1782674"/>
    <n v="1315860"/>
    <s v="رنا ميلاد"/>
    <x v="1"/>
    <s v="جليم الإسكندرية "/>
    <m/>
    <x v="0"/>
    <x v="1"/>
    <m/>
    <s v="مكتبه"/>
    <m/>
    <x v="0"/>
    <x v="0"/>
    <m/>
    <n v="8449"/>
    <s v="مسبق الدفع"/>
    <d v="2024-11-27T00:00:00"/>
    <d v="2024-12-10T00:00:00"/>
    <d v="2024-12-23T00:00:00"/>
    <x v="2"/>
    <s v="شركه شحن "/>
    <x v="0"/>
  </r>
  <r>
    <n v="101"/>
    <n v="1781530"/>
    <n v="1315450"/>
    <s v="محمد ناجى"/>
    <x v="5"/>
    <s v="مدينه نصر "/>
    <m/>
    <x v="0"/>
    <x v="1"/>
    <s v="دوران "/>
    <s v="ميكانزم"/>
    <m/>
    <x v="3"/>
    <x v="10"/>
    <m/>
    <n v="10249"/>
    <n v="6211"/>
    <d v="2024-11-27T00:00:00"/>
    <d v="2024-12-10T00:00:00"/>
    <d v="2024-12-19T00:00:00"/>
    <x v="2"/>
    <s v="محمود على "/>
    <x v="0"/>
  </r>
  <r>
    <n v="102"/>
    <n v="1795447"/>
    <n v="1321584"/>
    <s v="احمد عبد الستار"/>
    <x v="1"/>
    <s v="المندره اسكندريه"/>
    <m/>
    <x v="0"/>
    <x v="0"/>
    <s v="دورين"/>
    <s v="كيفنج"/>
    <n v="100"/>
    <x v="4"/>
    <x v="0"/>
    <m/>
    <n v="14905"/>
    <s v="مسبق الدفع"/>
    <d v="2024-11-29T00:00:00"/>
    <d v="2024-12-15T00:00:00"/>
    <m/>
    <x v="0"/>
    <s v="رفض الاستلام"/>
    <x v="2"/>
  </r>
  <r>
    <n v="103"/>
    <n v="1808440"/>
    <n v="1327172"/>
    <s v="نور "/>
    <x v="5"/>
    <s v="القاهره الجديده"/>
    <m/>
    <x v="0"/>
    <x v="1"/>
    <s v="دوران "/>
    <s v="ميكانزم"/>
    <m/>
    <x v="4"/>
    <x v="11"/>
    <m/>
    <n v="10249"/>
    <s v="مسبق الدفع"/>
    <d v="2024-11-30T00:00:00"/>
    <d v="2024-12-12T00:00:00"/>
    <m/>
    <x v="0"/>
    <m/>
    <x v="2"/>
  </r>
  <r>
    <n v="104"/>
    <n v="1808441"/>
    <n v="1327172"/>
    <s v="نور"/>
    <x v="5"/>
    <s v="القاهره الجديده"/>
    <m/>
    <x v="0"/>
    <x v="1"/>
    <s v="رف سحاب"/>
    <m/>
    <m/>
    <x v="4"/>
    <x v="12"/>
    <m/>
    <n v="9029"/>
    <s v="مسبق الدفع"/>
    <d v="2024-11-30T00:00:00"/>
    <d v="2024-12-12T00:00:00"/>
    <m/>
    <x v="0"/>
    <m/>
    <x v="2"/>
  </r>
  <r>
    <n v="105"/>
    <n v="1805052"/>
    <n v="1325637"/>
    <s v="تامر"/>
    <x v="7"/>
    <s v="العين السخنه"/>
    <m/>
    <x v="0"/>
    <x v="1"/>
    <s v="٢ ميكانزم"/>
    <m/>
    <m/>
    <x v="4"/>
    <x v="13"/>
    <m/>
    <n v="9029"/>
    <s v="مسبق الدفع"/>
    <d v="2024-11-30T00:00:00"/>
    <d v="2024-12-12T00:00:00"/>
    <m/>
    <x v="0"/>
    <m/>
    <x v="5"/>
  </r>
  <r>
    <n v="106"/>
    <n v="1813823"/>
    <n v="1329646"/>
    <s v="هناء اسامه"/>
    <x v="5"/>
    <s v="القطاميه"/>
    <m/>
    <x v="0"/>
    <x v="0"/>
    <s v="دورين "/>
    <s v="نوفال"/>
    <n v="80"/>
    <x v="3"/>
    <x v="0"/>
    <m/>
    <n v="12099"/>
    <s v="مسبق الدفع"/>
    <d v="2024-12-02T00:00:00"/>
    <d v="2024-12-17T00:00:00"/>
    <m/>
    <x v="0"/>
    <m/>
    <x v="2"/>
  </r>
  <r>
    <n v="107"/>
    <s v="s_7152"/>
    <m/>
    <s v="اوسكار راتن"/>
    <x v="6"/>
    <s v="المخزن ابو الغيط "/>
    <m/>
    <x v="4"/>
    <x v="0"/>
    <s v="دورين "/>
    <s v="كيفنج "/>
    <n v="90"/>
    <x v="1"/>
    <x v="0"/>
    <m/>
    <n v="5217"/>
    <s v="حساب شركه"/>
    <d v="2024-12-01T00:00:00"/>
    <d v="2024-12-14T00:00:00"/>
    <d v="2024-12-10T00:00:00"/>
    <x v="1"/>
    <s v="محمود على "/>
    <x v="0"/>
  </r>
  <r>
    <n v="108"/>
    <n v="1810950"/>
    <n v="1328141"/>
    <s v="محمد عادل "/>
    <x v="6"/>
    <s v="العبور"/>
    <m/>
    <x v="0"/>
    <x v="6"/>
    <s v="منطبق"/>
    <m/>
    <m/>
    <x v="4"/>
    <x v="1"/>
    <m/>
    <n v="10249"/>
    <n v="6211"/>
    <d v="2024-12-04T00:00:00"/>
    <d v="2024-12-14T00:00:00"/>
    <d v="2024-12-19T00:00:00"/>
    <x v="2"/>
    <s v="محمود على "/>
    <x v="0"/>
  </r>
  <r>
    <n v="109"/>
    <n v="240085463"/>
    <m/>
    <s v="مريم عنان"/>
    <x v="5"/>
    <s v="اب تاون كايرو التجمع "/>
    <m/>
    <x v="1"/>
    <x v="0"/>
    <s v="دورين"/>
    <s v="كينج"/>
    <m/>
    <x v="4"/>
    <x v="0"/>
    <m/>
    <n v="10445"/>
    <n v="7707"/>
    <d v="2024-12-09T00:00:00"/>
    <d v="2024-12-31T00:00:00"/>
    <d v="2024-12-12T00:00:00"/>
    <x v="1"/>
    <s v="محمود على "/>
    <x v="0"/>
  </r>
  <r>
    <n v="110"/>
    <n v="1818591"/>
    <n v="1332300"/>
    <s v="هبه عطيه "/>
    <x v="5"/>
    <s v="القاهره الجديده"/>
    <m/>
    <x v="0"/>
    <x v="1"/>
    <s v="دوران"/>
    <s v="ميكانزم"/>
    <m/>
    <x v="4"/>
    <x v="11"/>
    <m/>
    <n v="11199"/>
    <n v="11257"/>
    <d v="2024-12-12T00:00:00"/>
    <d v="2024-12-24T00:00:00"/>
    <d v="2024-12-19T00:00:00"/>
    <x v="1"/>
    <s v="محمود على "/>
    <x v="0"/>
  </r>
  <r>
    <n v="111"/>
    <n v="1818396"/>
    <n v="1332179"/>
    <s v="حمدى ذكرى"/>
    <x v="0"/>
    <s v="٦ اكتوبر الجيزه"/>
    <m/>
    <x v="0"/>
    <x v="6"/>
    <s v="دورين"/>
    <s v="نوفال"/>
    <n v="80"/>
    <x v="4"/>
    <x v="0"/>
    <m/>
    <n v="13099"/>
    <n v="13231"/>
    <d v="2024-12-12T00:00:00"/>
    <d v="2024-12-28T00:00:00"/>
    <d v="2024-12-29T00:00:00"/>
    <x v="2"/>
    <s v="محمود على "/>
    <x v="0"/>
  </r>
  <r>
    <n v="112"/>
    <n v="240085758"/>
    <m/>
    <s v="شيك هومز"/>
    <x v="4"/>
    <s v="مخزن شيك هومز"/>
    <m/>
    <x v="1"/>
    <x v="2"/>
    <s v="4*1"/>
    <s v="ارينا"/>
    <m/>
    <x v="4"/>
    <x v="14"/>
    <m/>
    <n v="8700"/>
    <s v="حساب شركه"/>
    <d v="2024-12-14T00:00:00"/>
    <d v="2025-01-05T00:00:00"/>
    <d v="2024-12-29T00:00:00"/>
    <x v="1"/>
    <s v="محمود على "/>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568B2A-B2BF-40FB-AF7F-966D64A9EB4F}" name="PivotTable4"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2">
  <location ref="N5:O15" firstHeaderRow="1" firstDataRow="1" firstDataCol="1"/>
  <pivotFields count="23">
    <pivotField showAll="0"/>
    <pivotField showAll="0"/>
    <pivotField showAll="0"/>
    <pivotField showAll="0"/>
    <pivotField showAll="0">
      <items count="10">
        <item x="8"/>
        <item x="1"/>
        <item x="0"/>
        <item x="2"/>
        <item x="7"/>
        <item x="3"/>
        <item x="5"/>
        <item x="6"/>
        <item x="4"/>
        <item t="default"/>
      </items>
    </pivotField>
    <pivotField showAll="0"/>
    <pivotField showAll="0"/>
    <pivotField axis="axisRow" showAll="0" sortType="ascending">
      <items count="17">
        <item x="5"/>
        <item m="1" x="13"/>
        <item x="3"/>
        <item m="1" x="12"/>
        <item x="1"/>
        <item m="1" x="15"/>
        <item x="2"/>
        <item m="1" x="11"/>
        <item x="7"/>
        <item x="6"/>
        <item m="1" x="14"/>
        <item x="0"/>
        <item m="1" x="10"/>
        <item x="4"/>
        <item x="8"/>
        <item m="1"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7"/>
  </rowFields>
  <rowItems count="10">
    <i>
      <x v="14"/>
    </i>
    <i>
      <x v="9"/>
    </i>
    <i>
      <x v="8"/>
    </i>
    <i>
      <x/>
    </i>
    <i>
      <x v="6"/>
    </i>
    <i>
      <x v="13"/>
    </i>
    <i>
      <x v="2"/>
    </i>
    <i>
      <x v="4"/>
    </i>
    <i>
      <x v="11"/>
    </i>
    <i t="grand">
      <x/>
    </i>
  </rowItems>
  <colItems count="1">
    <i/>
  </colItems>
  <dataFields count="1">
    <dataField name="Sum of سعر البيع " fld="15" baseField="0" baseItem="0" numFmtId="165"/>
  </dataFields>
  <formats count="1">
    <format dxfId="0">
      <pivotArea outline="0" collapsedLevelsAreSubtotals="1" fieldPosition="0"/>
    </format>
  </formats>
  <chartFormats count="2">
    <chartFormat chart="12" format="0" series="1">
      <pivotArea type="data" outline="0" fieldPosition="0">
        <references count="1">
          <reference field="4294967294" count="1" selected="0">
            <x v="0"/>
          </reference>
        </references>
      </pivotArea>
    </chartFormat>
    <chartFormat chart="1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5B0362-CBD6-4A39-82B0-1BF87991D375}" name="PivotTable2"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5:E6" firstHeaderRow="1" firstDataRow="1" firstDataCol="0"/>
  <pivotFields count="23">
    <pivotField showAll="0"/>
    <pivotField dataField="1" showAll="0"/>
    <pivotField showAll="0"/>
    <pivotField showAll="0"/>
    <pivotField showAll="0">
      <items count="10">
        <item x="8"/>
        <item x="1"/>
        <item x="0"/>
        <item x="2"/>
        <item x="7"/>
        <item x="3"/>
        <item x="5"/>
        <item x="6"/>
        <item x="4"/>
        <item t="default"/>
      </items>
    </pivotField>
    <pivotField showAll="0"/>
    <pivotField showAll="0"/>
    <pivotField showAll="0">
      <items count="17">
        <item x="5"/>
        <item x="4"/>
        <item m="1" x="13"/>
        <item x="3"/>
        <item m="1" x="12"/>
        <item x="1"/>
        <item m="1" x="15"/>
        <item x="2"/>
        <item x="8"/>
        <item m="1" x="11"/>
        <item x="7"/>
        <item x="6"/>
        <item m="1" x="14"/>
        <item x="0"/>
        <item m="1" x="10"/>
        <item m="1"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رقم العملية" fld="1"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7B34F4-1932-4229-8DBC-5C13743265C0}"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X5:Y7" firstHeaderRow="1" firstDataRow="1" firstDataCol="1"/>
  <pivotFields count="23">
    <pivotField showAll="0"/>
    <pivotField showAll="0"/>
    <pivotField showAll="0"/>
    <pivotField showAll="0"/>
    <pivotField showAll="0">
      <items count="10">
        <item x="8"/>
        <item x="1"/>
        <item x="0"/>
        <item x="2"/>
        <item x="7"/>
        <item x="3"/>
        <item x="5"/>
        <item x="6"/>
        <item x="4"/>
        <item t="default"/>
      </items>
    </pivotField>
    <pivotField showAll="0"/>
    <pivotField showAll="0"/>
    <pivotField showAll="0">
      <items count="17">
        <item x="5"/>
        <item x="4"/>
        <item m="1" x="13"/>
        <item x="3"/>
        <item m="1" x="12"/>
        <item x="1"/>
        <item m="1" x="15"/>
        <item x="2"/>
        <item x="8"/>
        <item m="1" x="11"/>
        <item x="7"/>
        <item x="6"/>
        <item m="1" x="14"/>
        <item x="0"/>
        <item m="1" x="10"/>
        <item m="1" x="9"/>
        <item t="default"/>
      </items>
    </pivotField>
    <pivotField showAll="0"/>
    <pivotField showAll="0"/>
    <pivotField showAll="0"/>
    <pivotField showAll="0"/>
    <pivotField axis="axisRow" dataField="1" showAll="0" measureFilter="1">
      <items count="12">
        <item x="3"/>
        <item x="1"/>
        <item x="4"/>
        <item x="7"/>
        <item x="8"/>
        <item x="6"/>
        <item x="9"/>
        <item x="5"/>
        <item x="2"/>
        <item x="10"/>
        <item x="0"/>
        <item t="default"/>
      </items>
    </pivotField>
    <pivotField showAll="0"/>
    <pivotField showAll="0"/>
    <pivotField showAll="0"/>
    <pivotField showAll="0"/>
    <pivotField showAll="0"/>
    <pivotField showAll="0"/>
    <pivotField showAll="0"/>
    <pivotField showAll="0"/>
    <pivotField showAll="0"/>
    <pivotField showAll="0"/>
  </pivotFields>
  <rowFields count="1">
    <field x="12"/>
  </rowFields>
  <rowItems count="2">
    <i>
      <x v="2"/>
    </i>
    <i t="grand">
      <x/>
    </i>
  </rowItems>
  <colItems count="1">
    <i/>
  </colItems>
  <dataFields count="1">
    <dataField name="Count of اللون المعدن" fld="12" subtotal="count" baseField="0" baseItem="0"/>
  </dataFields>
  <formats count="1">
    <format dxfId="2">
      <pivotArea outline="0" collapsedLevelsAreSubtotals="1" fieldPosition="0"/>
    </format>
  </formats>
  <pivotTableStyleInfo name="PivotStyleLight16" showRowHeaders="1" showColHeaders="1" showRowStripes="0" showColStripes="0" showLastColumn="1"/>
  <filters count="1">
    <filter fld="12"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1B96CE-A8D9-4322-9DA3-E958D447CC8A}" name="PivotTable10"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X24:Y27" firstHeaderRow="1" firstDataRow="1" firstDataCol="1"/>
  <pivotFields count="23">
    <pivotField showAll="0"/>
    <pivotField showAll="0"/>
    <pivotField showAll="0"/>
    <pivotField showAll="0"/>
    <pivotField showAll="0">
      <items count="10">
        <item x="8"/>
        <item x="1"/>
        <item x="0"/>
        <item x="2"/>
        <item x="7"/>
        <item x="3"/>
        <item x="5"/>
        <item x="6"/>
        <item x="4"/>
        <item t="default"/>
      </items>
    </pivotField>
    <pivotField showAll="0"/>
    <pivotField showAll="0"/>
    <pivotField showAll="0">
      <items count="17">
        <item x="5"/>
        <item x="4"/>
        <item m="1" x="13"/>
        <item x="3"/>
        <item m="1" x="12"/>
        <item x="1"/>
        <item m="1" x="15"/>
        <item x="2"/>
        <item x="8"/>
        <item m="1" x="11"/>
        <item x="7"/>
        <item x="6"/>
        <item m="1" x="14"/>
        <item x="0"/>
        <item m="1" x="10"/>
        <item m="1" x="9"/>
        <item t="default"/>
      </items>
    </pivotField>
    <pivotField showAll="0"/>
    <pivotField showAll="0"/>
    <pivotField showAll="0"/>
    <pivotField showAll="0"/>
    <pivotField showAll="0"/>
    <pivotField axis="axisRow" dataField="1" showAll="0" measureFilter="1">
      <items count="16">
        <item x="9"/>
        <item x="10"/>
        <item x="1"/>
        <item x="8"/>
        <item x="6"/>
        <item x="11"/>
        <item x="12"/>
        <item x="4"/>
        <item x="13"/>
        <item x="7"/>
        <item x="5"/>
        <item x="2"/>
        <item x="14"/>
        <item x="3"/>
        <item x="0"/>
        <item t="default"/>
      </items>
    </pivotField>
    <pivotField showAll="0"/>
    <pivotField showAll="0"/>
    <pivotField showAll="0"/>
    <pivotField showAll="0"/>
    <pivotField showAll="0"/>
    <pivotField showAll="0"/>
    <pivotField showAll="0"/>
    <pivotField showAll="0"/>
    <pivotField showAll="0"/>
  </pivotFields>
  <rowFields count="1">
    <field x="13"/>
  </rowFields>
  <rowItems count="3">
    <i>
      <x v="2"/>
    </i>
    <i>
      <x v="11"/>
    </i>
    <i t="grand">
      <x/>
    </i>
  </rowItems>
  <colItems count="1">
    <i/>
  </colItems>
  <dataFields count="1">
    <dataField name="Count of لون القماش" fld="13" subtotal="count" baseField="0" baseItem="0"/>
  </dataFields>
  <formats count="1">
    <format dxfId="3">
      <pivotArea outline="0" collapsedLevelsAreSubtotals="1" fieldPosition="0"/>
    </format>
  </formats>
  <pivotTableStyleInfo name="PivotStyleLight16" showRowHeaders="1" showColHeaders="1" showRowStripes="0" showColStripes="0" showLastColumn="1"/>
  <filters count="1">
    <filter fld="13"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06549CC-5BF6-4579-975B-28755B45F71B}" name="PivotTable3"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5:I6" firstHeaderRow="1" firstDataRow="1" firstDataCol="0"/>
  <pivotFields count="23">
    <pivotField showAll="0"/>
    <pivotField showAll="0"/>
    <pivotField showAll="0"/>
    <pivotField showAll="0"/>
    <pivotField showAll="0">
      <items count="10">
        <item x="8"/>
        <item x="1"/>
        <item x="0"/>
        <item x="2"/>
        <item x="7"/>
        <item x="3"/>
        <item x="5"/>
        <item x="6"/>
        <item x="4"/>
        <item t="default"/>
      </items>
    </pivotField>
    <pivotField showAll="0"/>
    <pivotField showAll="0"/>
    <pivotField showAll="0">
      <items count="17">
        <item x="5"/>
        <item x="4"/>
        <item m="1" x="13"/>
        <item x="3"/>
        <item m="1" x="12"/>
        <item x="1"/>
        <item m="1" x="15"/>
        <item x="2"/>
        <item x="8"/>
        <item m="1" x="11"/>
        <item x="7"/>
        <item x="6"/>
        <item m="1" x="14"/>
        <item x="0"/>
        <item m="1" x="10"/>
        <item m="1" x="9"/>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Items count="1">
    <i/>
  </rowItems>
  <colItems count="1">
    <i/>
  </colItems>
  <dataFields count="1">
    <dataField name="Average of سعر البيع " fld="15" subtotal="average" baseField="0" baseItem="0"/>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D593C47-838E-446C-909B-FB04FDFF78C4}" name="PivotTable2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M5:AN82" firstHeaderRow="1" firstDataRow="1" firstDataCol="1"/>
  <pivotFields count="2">
    <pivotField axis="axisRow" allDrilled="1" subtotalTop="0" showAll="0" dataSourceSort="1" defaultSubtotal="0" defaultAttributeDrillState="1">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s>
    </pivotField>
    <pivotField dataField="1" subtotalTop="0" showAll="0" defaultSubtotal="0"/>
  </pivotFields>
  <rowFields count="1">
    <field x="0"/>
  </rowFields>
  <rowItems count="7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t="grand">
      <x/>
    </i>
  </rowItems>
  <colItems count="1">
    <i/>
  </colItems>
  <dataFields count="1">
    <dataField name="Distinct Count of أسم العميل" fld="1" subtotal="count" baseField="0" baseItem="0">
      <extLst>
        <ext xmlns:x15="http://schemas.microsoft.com/office/spreadsheetml/2010/11/main" uri="{FABC7310-3BB5-11E1-824E-6D434824019B}">
          <x15:dataField isCountDistinct="1"/>
        </ext>
      </extLst>
    </dataField>
  </dataFields>
  <pivotHierarchies count="2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أسم العميل"/>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ISUO - Your Full Name.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81A6117-077E-4C80-871E-92405DA7BB3E}" name="PivotTable6"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S5:T13" firstHeaderRow="1" firstDataRow="1" firstDataCol="1"/>
  <pivotFields count="23">
    <pivotField showAll="0"/>
    <pivotField showAll="0"/>
    <pivotField showAll="0"/>
    <pivotField showAll="0"/>
    <pivotField showAll="0">
      <items count="10">
        <item x="8"/>
        <item x="1"/>
        <item x="0"/>
        <item x="2"/>
        <item x="7"/>
        <item x="3"/>
        <item x="5"/>
        <item x="6"/>
        <item x="4"/>
        <item t="default"/>
      </items>
    </pivotField>
    <pivotField showAll="0"/>
    <pivotField showAll="0"/>
    <pivotField showAll="0">
      <items count="17">
        <item x="5"/>
        <item x="4"/>
        <item m="1" x="13"/>
        <item x="3"/>
        <item m="1" x="12"/>
        <item x="1"/>
        <item m="1" x="15"/>
        <item x="2"/>
        <item x="8"/>
        <item m="1" x="11"/>
        <item x="7"/>
        <item x="6"/>
        <item m="1" x="14"/>
        <item x="0"/>
        <item m="1" x="10"/>
        <item m="1" x="9"/>
        <item t="default"/>
      </items>
    </pivotField>
    <pivotField axis="axisRow" showAll="0" sortType="ascending">
      <items count="9">
        <item x="1"/>
        <item x="3"/>
        <item x="0"/>
        <item x="6"/>
        <item x="5"/>
        <item x="4"/>
        <item x="2"/>
        <item m="1"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8"/>
  </rowFields>
  <rowItems count="8">
    <i>
      <x v="4"/>
    </i>
    <i>
      <x v="5"/>
    </i>
    <i>
      <x v="1"/>
    </i>
    <i>
      <x v="3"/>
    </i>
    <i>
      <x/>
    </i>
    <i>
      <x v="6"/>
    </i>
    <i>
      <x v="2"/>
    </i>
    <i t="grand">
      <x/>
    </i>
  </rowItems>
  <colItems count="1">
    <i/>
  </colItems>
  <dataFields count="1">
    <dataField name="Sum of سعر البيع " fld="15" baseField="0" baseItem="0"/>
  </dataFields>
  <formats count="1">
    <format dxfId="5">
      <pivotArea outline="0" collapsedLevelsAreSubtotals="1" fieldPosition="0"/>
    </format>
  </formats>
  <chartFormats count="5">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8" count="1" selected="0">
            <x v="6"/>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8" count="1" selected="0">
            <x v="6"/>
          </reference>
        </references>
      </pivotArea>
    </chartFormat>
    <chartFormat chart="8" format="6">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78C7528-C3D9-4355-9A9F-6C226F66136B}" name="PivotTable1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B5:AC10" firstHeaderRow="1" firstDataRow="1" firstDataCol="1"/>
  <pivotFields count="23">
    <pivotField showAll="0"/>
    <pivotField showAll="0"/>
    <pivotField showAll="0"/>
    <pivotField showAll="0"/>
    <pivotField showAll="0">
      <items count="10">
        <item x="8"/>
        <item x="1"/>
        <item x="0"/>
        <item x="2"/>
        <item x="7"/>
        <item x="3"/>
        <item x="5"/>
        <item x="6"/>
        <item x="4"/>
        <item t="default"/>
      </items>
    </pivotField>
    <pivotField showAll="0"/>
    <pivotField showAll="0"/>
    <pivotField showAll="0">
      <items count="17">
        <item x="5"/>
        <item x="4"/>
        <item m="1" x="13"/>
        <item x="3"/>
        <item m="1" x="12"/>
        <item x="1"/>
        <item m="1" x="15"/>
        <item x="2"/>
        <item x="8"/>
        <item m="1" x="11"/>
        <item x="7"/>
        <item x="6"/>
        <item m="1" x="14"/>
        <item x="0"/>
        <item m="1" x="10"/>
        <item m="1"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6">
        <item x="1"/>
        <item x="2"/>
        <item x="0"/>
        <item x="3"/>
        <item m="1" x="4"/>
        <item t="default"/>
      </items>
    </pivotField>
    <pivotField showAll="0"/>
    <pivotField showAll="0"/>
  </pivotFields>
  <rowFields count="1">
    <field x="20"/>
  </rowFields>
  <rowItems count="5">
    <i>
      <x/>
    </i>
    <i>
      <x v="1"/>
    </i>
    <i>
      <x v="2"/>
    </i>
    <i>
      <x v="3"/>
    </i>
    <i t="grand">
      <x/>
    </i>
  </rowItems>
  <colItems count="1">
    <i/>
  </colItems>
  <dataFields count="1">
    <dataField name="Count of حساب وقت وصول الطلب" fld="20" subtotal="count" showDataAs="percentOfTotal" baseField="19" baseItem="0" numFmtId="10"/>
  </dataFields>
  <formats count="2">
    <format dxfId="7">
      <pivotArea outline="0" collapsedLevelsAreSubtotals="1" fieldPosition="0"/>
    </format>
    <format dxfId="6">
      <pivotArea outline="0" fieldPosition="0">
        <references count="1">
          <reference field="4294967294" count="1">
            <x v="0"/>
          </reference>
        </references>
      </pivotArea>
    </format>
  </formats>
  <chartFormats count="1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0" count="1" selected="0">
            <x v="3"/>
          </reference>
        </references>
      </pivotArea>
    </chartFormat>
    <chartFormat chart="1" format="2">
      <pivotArea type="data" outline="0" fieldPosition="0">
        <references count="2">
          <reference field="4294967294" count="1" selected="0">
            <x v="0"/>
          </reference>
          <reference field="20" count="1" selected="0">
            <x v="0"/>
          </reference>
        </references>
      </pivotArea>
    </chartFormat>
    <chartFormat chart="1" format="3">
      <pivotArea type="data" outline="0" fieldPosition="0">
        <references count="2">
          <reference field="4294967294" count="1" selected="0">
            <x v="0"/>
          </reference>
          <reference field="20" count="1" selected="0">
            <x v="1"/>
          </reference>
        </references>
      </pivotArea>
    </chartFormat>
    <chartFormat chart="1" format="4">
      <pivotArea type="data" outline="0" fieldPosition="0">
        <references count="2">
          <reference field="4294967294" count="1" selected="0">
            <x v="0"/>
          </reference>
          <reference field="20" count="1" selected="0">
            <x v="2"/>
          </reference>
        </references>
      </pivotArea>
    </chartFormat>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20" count="1" selected="0">
            <x v="0"/>
          </reference>
        </references>
      </pivotArea>
    </chartFormat>
    <chartFormat chart="4" format="12">
      <pivotArea type="data" outline="0" fieldPosition="0">
        <references count="2">
          <reference field="4294967294" count="1" selected="0">
            <x v="0"/>
          </reference>
          <reference field="20" count="1" selected="0">
            <x v="1"/>
          </reference>
        </references>
      </pivotArea>
    </chartFormat>
    <chartFormat chart="4" format="13">
      <pivotArea type="data" outline="0" fieldPosition="0">
        <references count="2">
          <reference field="4294967294" count="1" selected="0">
            <x v="0"/>
          </reference>
          <reference field="20" count="1" selected="0">
            <x v="2"/>
          </reference>
        </references>
      </pivotArea>
    </chartFormat>
    <chartFormat chart="4" format="14">
      <pivotArea type="data" outline="0" fieldPosition="0">
        <references count="2">
          <reference field="4294967294" count="1" selected="0">
            <x v="0"/>
          </reference>
          <reference field="2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8675286-88C8-433D-9070-58E8560F86ED}"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A6" firstHeaderRow="1" firstDataRow="1" firstDataCol="0"/>
  <pivotFields count="23">
    <pivotField showAll="0"/>
    <pivotField showAll="0"/>
    <pivotField showAll="0"/>
    <pivotField showAll="0"/>
    <pivotField showAll="0">
      <items count="10">
        <item x="8"/>
        <item x="1"/>
        <item x="0"/>
        <item x="2"/>
        <item x="7"/>
        <item x="3"/>
        <item x="5"/>
        <item x="6"/>
        <item x="4"/>
        <item t="default"/>
      </items>
    </pivotField>
    <pivotField showAll="0"/>
    <pivotField showAll="0"/>
    <pivotField showAll="0">
      <items count="17">
        <item x="5"/>
        <item x="4"/>
        <item m="1" x="13"/>
        <item x="3"/>
        <item m="1" x="12"/>
        <item x="1"/>
        <item m="1" x="15"/>
        <item x="2"/>
        <item x="8"/>
        <item m="1" x="11"/>
        <item x="7"/>
        <item x="6"/>
        <item m="1" x="14"/>
        <item x="0"/>
        <item m="1" x="10"/>
        <item m="1" x="9"/>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Items count="1">
    <i/>
  </rowItems>
  <colItems count="1">
    <i/>
  </colItems>
  <dataFields count="1">
    <dataField name="Sum of سعر البيع " fld="15" baseField="0" baseItem="0" numFmtId="1"/>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7CBC420-9491-4BBF-BE20-8B9B55804E2A}" name="PivotTable14"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B22:AC30" firstHeaderRow="1" firstDataRow="1" firstDataCol="1"/>
  <pivotFields count="23">
    <pivotField showAll="0"/>
    <pivotField showAll="0"/>
    <pivotField showAll="0"/>
    <pivotField showAll="0"/>
    <pivotField showAll="0">
      <items count="10">
        <item x="8"/>
        <item x="1"/>
        <item x="0"/>
        <item x="2"/>
        <item x="7"/>
        <item x="3"/>
        <item x="5"/>
        <item x="6"/>
        <item x="4"/>
        <item t="default"/>
      </items>
    </pivotField>
    <pivotField showAll="0"/>
    <pivotField showAll="0"/>
    <pivotField showAll="0">
      <items count="17">
        <item x="5"/>
        <item x="4"/>
        <item m="1" x="13"/>
        <item x="3"/>
        <item m="1" x="12"/>
        <item x="1"/>
        <item m="1" x="15"/>
        <item x="2"/>
        <item x="8"/>
        <item m="1" x="11"/>
        <item x="7"/>
        <item x="6"/>
        <item m="1" x="14"/>
        <item x="0"/>
        <item m="1" x="10"/>
        <item m="1"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8">
        <item x="0"/>
        <item x="4"/>
        <item x="1"/>
        <item x="2"/>
        <item x="3"/>
        <item x="6"/>
        <item x="5"/>
        <item t="default"/>
      </items>
      <autoSortScope>
        <pivotArea dataOnly="0" outline="0" fieldPosition="0">
          <references count="1">
            <reference field="4294967294" count="1" selected="0">
              <x v="0"/>
            </reference>
          </references>
        </pivotArea>
      </autoSortScope>
    </pivotField>
  </pivotFields>
  <rowFields count="1">
    <field x="22"/>
  </rowFields>
  <rowItems count="8">
    <i>
      <x v="6"/>
    </i>
    <i>
      <x v="1"/>
    </i>
    <i>
      <x v="5"/>
    </i>
    <i>
      <x v="4"/>
    </i>
    <i>
      <x v="2"/>
    </i>
    <i>
      <x v="3"/>
    </i>
    <i>
      <x/>
    </i>
    <i t="grand">
      <x/>
    </i>
  </rowItems>
  <colItems count="1">
    <i/>
  </colItems>
  <dataFields count="1">
    <dataField name="Count of الحالة" fld="22" subtotal="count" showDataAs="percentOfTotal" baseField="21" baseItem="0" numFmtId="10"/>
  </dataFields>
  <formats count="2">
    <format dxfId="10">
      <pivotArea outline="0" collapsedLevelsAreSubtotals="1" fieldPosition="0"/>
    </format>
    <format dxfId="9">
      <pivotArea outline="0" fieldPosition="0">
        <references count="1">
          <reference field="4294967294" count="1">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2" count="1" selected="0">
            <x v="3"/>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2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D1FE71F-CE42-46D5-A5B0-F1C2CD0C8FDA}" name="PivotTable16"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H5:AI15" firstHeaderRow="1" firstDataRow="1" firstDataCol="1"/>
  <pivotFields count="23">
    <pivotField showAll="0"/>
    <pivotField showAll="0"/>
    <pivotField showAll="0"/>
    <pivotField showAll="0"/>
    <pivotField axis="axisRow" showAll="0" sortType="ascending">
      <items count="10">
        <item x="8"/>
        <item x="1"/>
        <item x="0"/>
        <item x="2"/>
        <item x="7"/>
        <item x="3"/>
        <item x="5"/>
        <item x="6"/>
        <item x="4"/>
        <item t="default"/>
      </items>
      <autoSortScope>
        <pivotArea dataOnly="0" outline="0" fieldPosition="0">
          <references count="1">
            <reference field="4294967294" count="1" selected="0">
              <x v="0"/>
            </reference>
          </references>
        </pivotArea>
      </autoSortScope>
    </pivotField>
    <pivotField showAll="0"/>
    <pivotField showAll="0"/>
    <pivotField showAll="0">
      <items count="17">
        <item x="5"/>
        <item x="4"/>
        <item m="1" x="13"/>
        <item x="3"/>
        <item m="1" x="12"/>
        <item x="1"/>
        <item m="1" x="15"/>
        <item x="2"/>
        <item x="8"/>
        <item m="1" x="11"/>
        <item x="7"/>
        <item x="6"/>
        <item m="1" x="14"/>
        <item x="0"/>
        <item m="1" x="10"/>
        <item m="1" x="9"/>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10">
    <i>
      <x/>
    </i>
    <i>
      <x v="3"/>
    </i>
    <i>
      <x v="5"/>
    </i>
    <i>
      <x v="1"/>
    </i>
    <i>
      <x v="7"/>
    </i>
    <i>
      <x v="4"/>
    </i>
    <i>
      <x v="8"/>
    </i>
    <i>
      <x v="2"/>
    </i>
    <i>
      <x v="6"/>
    </i>
    <i t="grand">
      <x/>
    </i>
  </rowItems>
  <colItems count="1">
    <i/>
  </colItems>
  <dataFields count="1">
    <dataField name="Sum of سعر البيع " fld="15" baseField="0" baseItem="0"/>
  </dataFields>
  <formats count="1">
    <format dxfId="11">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دينة" xr10:uid="{5C9E8D16-2F17-41FC-9049-BADB98921B71}" sourceName="المدينة">
  <pivotTables>
    <pivotTable tabId="4" name="PivotTable14"/>
    <pivotTable tabId="4" name="PivotTable1"/>
    <pivotTable tabId="4" name="PivotTable10"/>
    <pivotTable tabId="4" name="PivotTable11"/>
    <pivotTable tabId="4" name="PivotTable2"/>
    <pivotTable tabId="4" name="PivotTable3"/>
    <pivotTable tabId="4" name="PivotTable4"/>
    <pivotTable tabId="4" name="PivotTable6"/>
    <pivotTable tabId="4" name="PivotTable8"/>
  </pivotTables>
  <data>
    <tabular pivotCacheId="596333478">
      <items count="9">
        <i x="8" s="1"/>
        <i x="1" s="1"/>
        <i x="0" s="1"/>
        <i x="2" s="1"/>
        <i x="7" s="1"/>
        <i x="3" s="1"/>
        <i x="5" s="1"/>
        <i x="6"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نصة_البيع" xr10:uid="{D854F00F-C649-4038-BA0B-AF75B55C40D8}" sourceName="منصة البيع ">
  <pivotTables>
    <pivotTable tabId="4" name="PivotTable11"/>
    <pivotTable tabId="4" name="PivotTable1"/>
    <pivotTable tabId="4" name="PivotTable10"/>
    <pivotTable tabId="4" name="PivotTable14"/>
    <pivotTable tabId="4" name="PivotTable2"/>
    <pivotTable tabId="4" name="PivotTable3"/>
    <pivotTable tabId="4" name="PivotTable4"/>
    <pivotTable tabId="4" name="PivotTable6"/>
    <pivotTable tabId="4" name="PivotTable8"/>
    <pivotTable tabId="4" name="PivotTable16"/>
  </pivotTables>
  <data>
    <tabular pivotCacheId="596333478">
      <items count="16">
        <i x="5" s="1"/>
        <i x="4" s="1"/>
        <i x="3" s="1"/>
        <i x="1" s="1"/>
        <i x="2" s="1"/>
        <i x="8" s="1"/>
        <i x="7" s="1"/>
        <i x="6" s="1"/>
        <i x="0" s="1"/>
        <i x="13" s="1" nd="1"/>
        <i x="12" s="1" nd="1"/>
        <i x="15" s="1" nd="1"/>
        <i x="11" s="1" nd="1"/>
        <i x="14" s="1" nd="1"/>
        <i x="10"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دينة 1" xr10:uid="{2194264F-3EC2-484D-A3AE-6EA4A379AB8C}" cache="Slicer_المدينة" caption="المدينة" columnCount="2" style="Slicer Style 1" rowHeight="244828"/>
  <slicer name="منصة البيع  1" xr10:uid="{9C6ECDF1-7D91-4C12-9965-9603D4B335AC}" cache="Slicer_منصة_البيع" caption="منصة البيع " columnCount="2" style="Slicer Style 1" rowHeight="24482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FC2E80A-25F2-486A-BC0E-F3C35FD032ED}" name="Table1" displayName="Table1" ref="A1:W113" totalsRowShown="0" headerRowDxfId="60" dataDxfId="58" headerRowBorderDxfId="59" tableBorderDxfId="57">
  <autoFilter ref="A1:W113" xr:uid="{1FC2E80A-25F2-486A-BC0E-F3C35FD032ED}"/>
  <tableColumns count="23">
    <tableColumn id="1" xr3:uid="{C37ACC45-2758-4C4B-8DC4-34C5569654EF}" name="م" dataDxfId="56" totalsRowDxfId="55"/>
    <tableColumn id="2" xr3:uid="{538BC5CE-B50F-4F7E-904A-CEF99F4A3CA1}" name="رقم العملية" dataDxfId="54" totalsRowDxfId="53"/>
    <tableColumn id="3" xr3:uid="{EF108AD3-ECCC-47D6-BA2B-E6F343C2DE2C}" name="رقم الطلب" dataDxfId="52" totalsRowDxfId="51"/>
    <tableColumn id="4" xr3:uid="{B7DE8064-EA92-43ED-96CE-87369DD7D104}" name="أسم العميل" dataDxfId="50" totalsRowDxfId="49"/>
    <tableColumn id="28" xr3:uid="{0C2B2F29-0CEE-4304-9714-69B15099F00F}" name="المدينة" dataDxfId="48" totalsRowDxfId="47"/>
    <tableColumn id="5" xr3:uid="{6C70AD2C-5837-4EB4-9A00-5F06666E65C5}" name="العنوان" dataDxfId="46" totalsRowDxfId="45"/>
    <tableColumn id="6" xr3:uid="{248F855B-7E42-402D-8DC4-8622AC517605}" name="رقم الموبيل" dataDxfId="44" totalsRowDxfId="43"/>
    <tableColumn id="7" xr3:uid="{FB569B51-8AA2-4E1A-A6D3-D42C2FD70939}" name="منصة البيع " dataDxfId="42"/>
    <tableColumn id="8" xr3:uid="{AD668919-0D43-4AAB-BB37-8CA071ACEEE7}" name="نوع المنتج" dataDxfId="41" totalsRowDxfId="40"/>
    <tableColumn id="9" xr3:uid="{718E10B0-35B8-4640-84EE-6DDF3DC49840}" name="طريقة الصنع" dataDxfId="39" totalsRowDxfId="38"/>
    <tableColumn id="10" xr3:uid="{AD88A5E7-A5E9-4F4E-A59E-D2D0DC7F2261}" name="الاسم" dataDxfId="37" totalsRowDxfId="36"/>
    <tableColumn id="11" xr3:uid="{B67A9246-3FF8-49AF-9683-72108C234C6A}" name="المقاس" dataDxfId="35" totalsRowDxfId="34"/>
    <tableColumn id="12" xr3:uid="{E88F7906-9292-4065-821F-5F8C2F61B6E9}" name="اللون المعدن" dataDxfId="33" totalsRowDxfId="32"/>
    <tableColumn id="13" xr3:uid="{6594E84E-FDF0-4897-8405-AF466CA8EEEE}" name="لون القماش" dataDxfId="31" totalsRowDxfId="30"/>
    <tableColumn id="14" xr3:uid="{2910C6F5-ECF5-47C4-87B2-C7B7DF28B44F}" name="المنتج" dataDxfId="29" totalsRowDxfId="28"/>
    <tableColumn id="15" xr3:uid="{B37AC502-75C4-477E-8CDA-2E0529ABFEE8}" name="سعر البيع " dataDxfId="27" totalsRowDxfId="26"/>
    <tableColumn id="16" xr3:uid="{26AAD09C-0444-4B79-ABA9-D71CDC8AA28B}" name="طريقه الدفع " dataDxfId="25" totalsRowDxfId="24"/>
    <tableColumn id="17" xr3:uid="{35E7DDA5-7016-4583-8CE6-2F4015E75182}" name="ميعاد الطلب" dataDxfId="23" totalsRowDxfId="22"/>
    <tableColumn id="18" xr3:uid="{AFCF332A-0282-4EB8-AB3D-ECAEC8102F6C}" name="ميعاد التسليم" dataDxfId="21" totalsRowDxfId="20"/>
    <tableColumn id="19" xr3:uid="{FA71B982-7DF0-41D2-B62D-B1CC0448D46D}" name="تاريخ التسليم" dataDxfId="19" totalsRowDxfId="18"/>
    <tableColumn id="26" xr3:uid="{2182C32B-3ABE-4E6C-9064-30D1B7BD328F}" name="حساب وقت وصول الطلب" dataDxfId="17" totalsRowDxfId="16"/>
    <tableColumn id="20" xr3:uid="{8DDFF982-5916-41EB-B026-1940D30A1F2E}" name="المسئول عن التسليم" dataDxfId="15" totalsRowDxfId="14"/>
    <tableColumn id="21" xr3:uid="{85D8A181-8071-4FCF-8603-3A3AC17C6EDF}" name="الحالة" dataDxfId="13" totalsRow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113"/>
  <sheetViews>
    <sheetView zoomScale="70" zoomScaleNormal="70" workbookViewId="0">
      <pane ySplit="1" topLeftCell="A2" activePane="bottomLeft" state="frozen"/>
      <selection activeCell="G1" sqref="G1"/>
      <selection pane="bottomLeft" activeCell="H20" sqref="H20"/>
    </sheetView>
  </sheetViews>
  <sheetFormatPr defaultColWidth="8.88671875" defaultRowHeight="16" x14ac:dyDescent="0.3"/>
  <cols>
    <col min="1" max="1" width="5" style="9" customWidth="1"/>
    <col min="2" max="2" width="21.5546875" style="12" customWidth="1"/>
    <col min="3" max="3" width="22" style="9" customWidth="1"/>
    <col min="4" max="4" width="16.33203125" style="28" bestFit="1" customWidth="1"/>
    <col min="5" max="5" width="18.44140625" style="9" customWidth="1"/>
    <col min="6" max="6" width="31.109375" style="28" bestFit="1" customWidth="1"/>
    <col min="7" max="7" width="14.5546875" style="9" bestFit="1" customWidth="1"/>
    <col min="8" max="8" width="29.109375" style="9" customWidth="1"/>
    <col min="9" max="9" width="23.109375" style="9" customWidth="1"/>
    <col min="10" max="10" width="10.77734375" style="9" customWidth="1"/>
    <col min="11" max="11" width="20.6640625" style="9" customWidth="1"/>
    <col min="12" max="12" width="18.44140625" style="9" customWidth="1"/>
    <col min="13" max="13" width="12.5546875" style="9" customWidth="1"/>
    <col min="14" max="14" width="14.109375" style="9" customWidth="1"/>
    <col min="15" max="15" width="18.33203125" style="9" customWidth="1"/>
    <col min="16" max="16" width="14.6640625" style="16" bestFit="1" customWidth="1"/>
    <col min="17" max="17" width="35.21875" style="10" customWidth="1"/>
    <col min="18" max="18" width="17.5546875" style="11" customWidth="1"/>
    <col min="19" max="19" width="18" style="11" customWidth="1"/>
    <col min="20" max="20" width="14.88671875" style="11" customWidth="1"/>
    <col min="21" max="21" width="17.109375" style="25" customWidth="1"/>
    <col min="22" max="22" width="37.33203125" style="9" customWidth="1"/>
    <col min="23" max="23" width="37.33203125" style="25" customWidth="1"/>
    <col min="24" max="24" width="33" style="4" customWidth="1"/>
    <col min="25" max="25" width="12.88671875" style="3" customWidth="1"/>
    <col min="26" max="16384" width="8.88671875" style="4"/>
  </cols>
  <sheetData>
    <row r="1" spans="1:23" s="2" customFormat="1" ht="20.2" customHeight="1" x14ac:dyDescent="0.3">
      <c r="A1" s="5" t="s">
        <v>5</v>
      </c>
      <c r="B1" s="6" t="s">
        <v>171</v>
      </c>
      <c r="C1" s="6" t="s">
        <v>172</v>
      </c>
      <c r="D1" s="6" t="s">
        <v>0</v>
      </c>
      <c r="E1" s="6" t="s">
        <v>348</v>
      </c>
      <c r="F1" s="6" t="s">
        <v>1</v>
      </c>
      <c r="G1" s="6" t="s">
        <v>6</v>
      </c>
      <c r="H1" s="6" t="s">
        <v>7</v>
      </c>
      <c r="I1" s="6" t="s">
        <v>279</v>
      </c>
      <c r="J1" s="6" t="s">
        <v>280</v>
      </c>
      <c r="K1" s="6" t="s">
        <v>164</v>
      </c>
      <c r="L1" s="6" t="s">
        <v>165</v>
      </c>
      <c r="M1" s="6" t="s">
        <v>169</v>
      </c>
      <c r="N1" s="6" t="s">
        <v>170</v>
      </c>
      <c r="O1" s="5" t="s">
        <v>2</v>
      </c>
      <c r="P1" s="15" t="s">
        <v>9</v>
      </c>
      <c r="Q1" s="7" t="s">
        <v>10</v>
      </c>
      <c r="R1" s="6" t="s">
        <v>12</v>
      </c>
      <c r="S1" s="6" t="s">
        <v>11</v>
      </c>
      <c r="T1" s="6" t="s">
        <v>3</v>
      </c>
      <c r="U1" s="26" t="s">
        <v>342</v>
      </c>
      <c r="V1" s="6" t="s">
        <v>4</v>
      </c>
      <c r="W1" s="8" t="s">
        <v>180</v>
      </c>
    </row>
    <row r="2" spans="1:23" s="1" customFormat="1" ht="20.2" customHeight="1" x14ac:dyDescent="0.3">
      <c r="A2" s="9">
        <v>1</v>
      </c>
      <c r="B2" s="9" t="s">
        <v>305</v>
      </c>
      <c r="C2" s="9"/>
      <c r="D2" s="9" t="s">
        <v>13</v>
      </c>
      <c r="E2" s="9" t="s">
        <v>349</v>
      </c>
      <c r="F2" s="9" t="s">
        <v>14</v>
      </c>
      <c r="G2" s="9"/>
      <c r="H2" s="9" t="s">
        <v>8</v>
      </c>
      <c r="I2" s="9" t="s">
        <v>143</v>
      </c>
      <c r="J2" s="9" t="s">
        <v>144</v>
      </c>
      <c r="K2" s="9"/>
      <c r="L2" s="9"/>
      <c r="M2" s="9"/>
      <c r="N2" s="9"/>
      <c r="O2" s="9" t="s">
        <v>15</v>
      </c>
      <c r="P2" s="16">
        <v>10160</v>
      </c>
      <c r="Q2" s="10" t="s">
        <v>16</v>
      </c>
      <c r="R2" s="11">
        <v>45500</v>
      </c>
      <c r="S2" s="14">
        <v>45514</v>
      </c>
      <c r="T2" s="14">
        <v>45514</v>
      </c>
      <c r="U2" s="25" t="s">
        <v>338</v>
      </c>
      <c r="V2" s="9" t="s">
        <v>283</v>
      </c>
      <c r="W2" s="9" t="s">
        <v>183</v>
      </c>
    </row>
    <row r="3" spans="1:23" s="1" customFormat="1" ht="20.2" customHeight="1" x14ac:dyDescent="0.3">
      <c r="A3" s="9">
        <v>2</v>
      </c>
      <c r="B3" s="9" t="s">
        <v>306</v>
      </c>
      <c r="C3" s="9"/>
      <c r="D3" s="9" t="s">
        <v>17</v>
      </c>
      <c r="E3" s="9" t="s">
        <v>350</v>
      </c>
      <c r="F3" s="9" t="s">
        <v>18</v>
      </c>
      <c r="G3" s="9"/>
      <c r="H3" s="9" t="s">
        <v>8</v>
      </c>
      <c r="I3" s="9" t="s">
        <v>143</v>
      </c>
      <c r="J3" s="9" t="s">
        <v>144</v>
      </c>
      <c r="K3" s="9"/>
      <c r="L3" s="9"/>
      <c r="M3" s="9"/>
      <c r="N3" s="9"/>
      <c r="O3" s="9" t="s">
        <v>19</v>
      </c>
      <c r="P3" s="16">
        <v>10160</v>
      </c>
      <c r="Q3" s="10">
        <v>9749</v>
      </c>
      <c r="R3" s="11">
        <v>45501</v>
      </c>
      <c r="S3" s="14">
        <v>45515</v>
      </c>
      <c r="T3" s="14">
        <v>45515</v>
      </c>
      <c r="U3" s="25" t="s">
        <v>338</v>
      </c>
      <c r="V3" s="9" t="s">
        <v>283</v>
      </c>
      <c r="W3" s="9" t="s">
        <v>183</v>
      </c>
    </row>
    <row r="4" spans="1:23" s="1" customFormat="1" ht="20.2" customHeight="1" x14ac:dyDescent="0.3">
      <c r="A4" s="9">
        <v>3</v>
      </c>
      <c r="B4" s="9" t="s">
        <v>307</v>
      </c>
      <c r="C4" s="9"/>
      <c r="D4" s="9" t="s">
        <v>20</v>
      </c>
      <c r="E4" s="9" t="s">
        <v>347</v>
      </c>
      <c r="F4" s="9" t="s">
        <v>21</v>
      </c>
      <c r="G4" s="9"/>
      <c r="H4" s="9" t="s">
        <v>8</v>
      </c>
      <c r="I4" s="9" t="s">
        <v>143</v>
      </c>
      <c r="J4" s="9" t="s">
        <v>155</v>
      </c>
      <c r="K4" s="9" t="s">
        <v>148</v>
      </c>
      <c r="L4" s="9">
        <v>90</v>
      </c>
      <c r="M4" s="9" t="s">
        <v>160</v>
      </c>
      <c r="N4" s="9"/>
      <c r="O4" s="9" t="s">
        <v>22</v>
      </c>
      <c r="P4" s="16">
        <v>11455</v>
      </c>
      <c r="Q4" s="10">
        <v>10067.68</v>
      </c>
      <c r="R4" s="11">
        <v>45500</v>
      </c>
      <c r="S4" s="9"/>
      <c r="T4" s="9"/>
      <c r="U4" s="25" t="s">
        <v>338</v>
      </c>
      <c r="V4" s="9" t="s">
        <v>32</v>
      </c>
      <c r="W4" s="9" t="s">
        <v>181</v>
      </c>
    </row>
    <row r="5" spans="1:23" s="1" customFormat="1" ht="20.2" customHeight="1" x14ac:dyDescent="0.3">
      <c r="A5" s="9">
        <v>4</v>
      </c>
      <c r="B5" s="9" t="s">
        <v>308</v>
      </c>
      <c r="C5" s="9"/>
      <c r="D5" s="9" t="s">
        <v>23</v>
      </c>
      <c r="E5" s="9" t="s">
        <v>351</v>
      </c>
      <c r="F5" s="9" t="s">
        <v>24</v>
      </c>
      <c r="G5" s="9"/>
      <c r="H5" s="9" t="s">
        <v>8</v>
      </c>
      <c r="I5" s="9" t="s">
        <v>254</v>
      </c>
      <c r="J5" s="9"/>
      <c r="K5" s="9"/>
      <c r="L5" s="9"/>
      <c r="M5" s="9"/>
      <c r="N5" s="9"/>
      <c r="O5" s="9" t="s">
        <v>25</v>
      </c>
      <c r="P5" s="16">
        <v>8642</v>
      </c>
      <c r="Q5" s="10" t="s">
        <v>16</v>
      </c>
      <c r="R5" s="11">
        <v>45549</v>
      </c>
      <c r="S5" s="11">
        <v>45542</v>
      </c>
      <c r="T5" s="11">
        <v>45531</v>
      </c>
      <c r="U5" s="25" t="s">
        <v>339</v>
      </c>
      <c r="V5" s="9" t="s">
        <v>283</v>
      </c>
      <c r="W5" s="9" t="s">
        <v>183</v>
      </c>
    </row>
    <row r="6" spans="1:23" s="1" customFormat="1" ht="20.2" customHeight="1" x14ac:dyDescent="0.3">
      <c r="A6" s="9">
        <v>5</v>
      </c>
      <c r="B6" s="9" t="s">
        <v>309</v>
      </c>
      <c r="C6" s="9"/>
      <c r="D6" s="9" t="s">
        <v>26</v>
      </c>
      <c r="E6" s="9" t="s">
        <v>347</v>
      </c>
      <c r="F6" s="9" t="s">
        <v>21</v>
      </c>
      <c r="G6" s="9"/>
      <c r="H6" s="9" t="s">
        <v>8</v>
      </c>
      <c r="I6" s="9" t="s">
        <v>143</v>
      </c>
      <c r="J6" s="9" t="s">
        <v>155</v>
      </c>
      <c r="K6" s="9" t="s">
        <v>145</v>
      </c>
      <c r="L6" s="9">
        <v>100</v>
      </c>
      <c r="M6" s="9" t="s">
        <v>162</v>
      </c>
      <c r="N6" s="9"/>
      <c r="O6" s="9" t="s">
        <v>27</v>
      </c>
      <c r="P6" s="16">
        <v>12833</v>
      </c>
      <c r="Q6" s="10">
        <v>12974.22</v>
      </c>
      <c r="R6" s="11">
        <v>45550</v>
      </c>
      <c r="S6" s="11">
        <v>45535</v>
      </c>
      <c r="T6" s="11"/>
      <c r="U6" s="25" t="s">
        <v>338</v>
      </c>
      <c r="V6" s="9" t="s">
        <v>32</v>
      </c>
      <c r="W6" s="9" t="s">
        <v>181</v>
      </c>
    </row>
    <row r="7" spans="1:23" s="1" customFormat="1" ht="20.2" customHeight="1" x14ac:dyDescent="0.3">
      <c r="A7" s="9">
        <v>6</v>
      </c>
      <c r="B7" s="9" t="s">
        <v>298</v>
      </c>
      <c r="C7" s="9"/>
      <c r="D7" s="9" t="s">
        <v>28</v>
      </c>
      <c r="E7" s="9"/>
      <c r="F7" s="9"/>
      <c r="G7" s="9"/>
      <c r="H7" s="9" t="s">
        <v>47</v>
      </c>
      <c r="I7" s="9" t="s">
        <v>156</v>
      </c>
      <c r="J7" s="9" t="s">
        <v>154</v>
      </c>
      <c r="K7" s="9"/>
      <c r="L7" s="9"/>
      <c r="M7" s="9"/>
      <c r="N7" s="9"/>
      <c r="O7" s="9" t="s">
        <v>29</v>
      </c>
      <c r="P7" s="16">
        <v>14550</v>
      </c>
      <c r="Q7" s="10" t="s">
        <v>16</v>
      </c>
      <c r="R7" s="11">
        <v>45550</v>
      </c>
      <c r="S7" s="11">
        <v>45538</v>
      </c>
      <c r="T7" s="11">
        <v>45540</v>
      </c>
      <c r="U7" s="25" t="s">
        <v>340</v>
      </c>
      <c r="V7" s="9" t="s">
        <v>283</v>
      </c>
      <c r="W7" s="9" t="s">
        <v>183</v>
      </c>
    </row>
    <row r="8" spans="1:23" s="1" customFormat="1" ht="20.2" customHeight="1" x14ac:dyDescent="0.3">
      <c r="A8" s="9">
        <v>7</v>
      </c>
      <c r="B8" s="9" t="s">
        <v>301</v>
      </c>
      <c r="C8" s="9"/>
      <c r="D8" s="9" t="s">
        <v>30</v>
      </c>
      <c r="E8" s="9" t="s">
        <v>352</v>
      </c>
      <c r="F8" s="9" t="s">
        <v>31</v>
      </c>
      <c r="G8" s="9"/>
      <c r="H8" s="9" t="s">
        <v>246</v>
      </c>
      <c r="I8" s="9" t="s">
        <v>156</v>
      </c>
      <c r="J8" s="9" t="s">
        <v>154</v>
      </c>
      <c r="K8" s="9"/>
      <c r="L8" s="9"/>
      <c r="M8" s="9"/>
      <c r="N8" s="9"/>
      <c r="O8" s="9" t="s">
        <v>29</v>
      </c>
      <c r="P8" s="16">
        <v>12000</v>
      </c>
      <c r="Q8" s="10">
        <v>12000</v>
      </c>
      <c r="R8" s="11">
        <v>45550</v>
      </c>
      <c r="S8" s="11">
        <v>45524</v>
      </c>
      <c r="T8" s="11">
        <v>45523</v>
      </c>
      <c r="U8" s="25" t="s">
        <v>339</v>
      </c>
      <c r="V8" s="9" t="s">
        <v>283</v>
      </c>
      <c r="W8" s="9" t="s">
        <v>183</v>
      </c>
    </row>
    <row r="9" spans="1:23" s="1" customFormat="1" ht="20.2" customHeight="1" x14ac:dyDescent="0.3">
      <c r="A9" s="9">
        <v>8</v>
      </c>
      <c r="B9" s="9" t="s">
        <v>310</v>
      </c>
      <c r="C9" s="9"/>
      <c r="D9" s="9" t="s">
        <v>33</v>
      </c>
      <c r="E9" s="9" t="s">
        <v>349</v>
      </c>
      <c r="F9" s="9" t="s">
        <v>34</v>
      </c>
      <c r="G9" s="9"/>
      <c r="H9" s="9" t="s">
        <v>8</v>
      </c>
      <c r="I9" s="9" t="s">
        <v>143</v>
      </c>
      <c r="J9" s="9" t="s">
        <v>146</v>
      </c>
      <c r="K9" s="9"/>
      <c r="L9" s="9"/>
      <c r="M9" s="9"/>
      <c r="N9" s="9"/>
      <c r="O9" s="9" t="s">
        <v>35</v>
      </c>
      <c r="P9" s="16">
        <v>7228</v>
      </c>
      <c r="Q9" s="10" t="s">
        <v>16</v>
      </c>
      <c r="R9" s="11">
        <v>45551</v>
      </c>
      <c r="S9" s="11">
        <v>45538</v>
      </c>
      <c r="T9" s="11">
        <v>45545</v>
      </c>
      <c r="U9" s="25" t="s">
        <v>340</v>
      </c>
      <c r="V9" s="9" t="s">
        <v>283</v>
      </c>
      <c r="W9" s="9" t="s">
        <v>183</v>
      </c>
    </row>
    <row r="10" spans="1:23" s="1" customFormat="1" ht="20.2" customHeight="1" x14ac:dyDescent="0.3">
      <c r="A10" s="9">
        <v>9</v>
      </c>
      <c r="B10" s="9" t="s">
        <v>292</v>
      </c>
      <c r="C10" s="9"/>
      <c r="D10" s="9" t="s">
        <v>36</v>
      </c>
      <c r="E10" s="9" t="s">
        <v>352</v>
      </c>
      <c r="F10" s="9" t="s">
        <v>37</v>
      </c>
      <c r="G10" s="9"/>
      <c r="H10" s="9" t="s">
        <v>38</v>
      </c>
      <c r="I10" s="9" t="s">
        <v>150</v>
      </c>
      <c r="J10" s="9" t="s">
        <v>152</v>
      </c>
      <c r="K10" s="9"/>
      <c r="L10" s="9"/>
      <c r="M10" s="9"/>
      <c r="N10" s="9"/>
      <c r="O10" s="9" t="s">
        <v>39</v>
      </c>
      <c r="P10" s="16">
        <v>22000</v>
      </c>
      <c r="Q10" s="10">
        <v>22000</v>
      </c>
      <c r="R10" s="11">
        <v>45523</v>
      </c>
      <c r="S10" s="11">
        <v>45536</v>
      </c>
      <c r="T10" s="11">
        <v>45552</v>
      </c>
      <c r="U10" s="25" t="s">
        <v>341</v>
      </c>
      <c r="V10" s="9"/>
      <c r="W10" s="9" t="s">
        <v>183</v>
      </c>
    </row>
    <row r="11" spans="1:23" s="1" customFormat="1" ht="20.2" customHeight="1" x14ac:dyDescent="0.3">
      <c r="A11" s="9">
        <v>10</v>
      </c>
      <c r="B11" s="9" t="s">
        <v>293</v>
      </c>
      <c r="C11" s="9"/>
      <c r="D11" s="9" t="s">
        <v>36</v>
      </c>
      <c r="E11" s="9" t="s">
        <v>352</v>
      </c>
      <c r="F11" s="9" t="s">
        <v>37</v>
      </c>
      <c r="G11" s="9"/>
      <c r="H11" s="9" t="s">
        <v>38</v>
      </c>
      <c r="I11" s="9" t="s">
        <v>156</v>
      </c>
      <c r="J11" s="9" t="s">
        <v>151</v>
      </c>
      <c r="K11" s="9"/>
      <c r="L11" s="9"/>
      <c r="M11" s="9"/>
      <c r="N11" s="9"/>
      <c r="O11" s="9" t="s">
        <v>40</v>
      </c>
      <c r="P11" s="16">
        <v>16000</v>
      </c>
      <c r="Q11" s="10">
        <v>16000</v>
      </c>
      <c r="R11" s="11"/>
      <c r="S11" s="11"/>
      <c r="T11" s="11"/>
      <c r="U11" s="25" t="s">
        <v>338</v>
      </c>
      <c r="V11" s="9" t="s">
        <v>103</v>
      </c>
      <c r="W11" s="9" t="s">
        <v>207</v>
      </c>
    </row>
    <row r="12" spans="1:23" s="1" customFormat="1" ht="20.2" customHeight="1" x14ac:dyDescent="0.3">
      <c r="A12" s="9">
        <v>11</v>
      </c>
      <c r="B12" s="9" t="s">
        <v>294</v>
      </c>
      <c r="C12" s="9"/>
      <c r="D12" s="9" t="s">
        <v>36</v>
      </c>
      <c r="E12" s="9" t="s">
        <v>352</v>
      </c>
      <c r="F12" s="9" t="s">
        <v>41</v>
      </c>
      <c r="G12" s="9"/>
      <c r="H12" s="9" t="s">
        <v>38</v>
      </c>
      <c r="I12" s="9" t="s">
        <v>156</v>
      </c>
      <c r="J12" s="9" t="s">
        <v>151</v>
      </c>
      <c r="K12" s="9"/>
      <c r="L12" s="9"/>
      <c r="M12" s="9"/>
      <c r="N12" s="9"/>
      <c r="O12" s="9" t="s">
        <v>42</v>
      </c>
      <c r="P12" s="16">
        <v>6000</v>
      </c>
      <c r="Q12" s="10">
        <v>12000</v>
      </c>
      <c r="R12" s="11">
        <v>45529</v>
      </c>
      <c r="S12" s="11">
        <v>45550</v>
      </c>
      <c r="T12" s="11">
        <v>45552</v>
      </c>
      <c r="U12" s="25" t="s">
        <v>340</v>
      </c>
      <c r="V12" s="9" t="s">
        <v>285</v>
      </c>
      <c r="W12" s="9" t="s">
        <v>183</v>
      </c>
    </row>
    <row r="13" spans="1:23" s="1" customFormat="1" ht="20.2" customHeight="1" x14ac:dyDescent="0.3">
      <c r="A13" s="9">
        <v>12</v>
      </c>
      <c r="B13" s="9" t="s">
        <v>311</v>
      </c>
      <c r="C13" s="9"/>
      <c r="D13" s="9" t="s">
        <v>43</v>
      </c>
      <c r="E13" s="9" t="s">
        <v>352</v>
      </c>
      <c r="F13" s="9" t="s">
        <v>44</v>
      </c>
      <c r="G13" s="9"/>
      <c r="H13" s="9" t="s">
        <v>8</v>
      </c>
      <c r="I13" s="9" t="s">
        <v>143</v>
      </c>
      <c r="J13" s="9" t="s">
        <v>155</v>
      </c>
      <c r="K13" s="9" t="s">
        <v>145</v>
      </c>
      <c r="L13" s="9">
        <v>80</v>
      </c>
      <c r="M13" s="9" t="s">
        <v>157</v>
      </c>
      <c r="N13" s="9"/>
      <c r="O13" s="9" t="s">
        <v>45</v>
      </c>
      <c r="P13" s="16">
        <v>10499</v>
      </c>
      <c r="Q13" s="10">
        <v>8924</v>
      </c>
      <c r="R13" s="11">
        <v>45536</v>
      </c>
      <c r="S13" s="11">
        <v>45551</v>
      </c>
      <c r="T13" s="11">
        <v>45543</v>
      </c>
      <c r="U13" s="25" t="s">
        <v>339</v>
      </c>
      <c r="V13" s="9" t="s">
        <v>283</v>
      </c>
      <c r="W13" s="9" t="s">
        <v>183</v>
      </c>
    </row>
    <row r="14" spans="1:23" s="1" customFormat="1" ht="20.2" customHeight="1" x14ac:dyDescent="0.3">
      <c r="A14" s="9">
        <v>13</v>
      </c>
      <c r="B14" s="9">
        <v>1404561</v>
      </c>
      <c r="C14" s="9">
        <v>1199284</v>
      </c>
      <c r="D14" s="9" t="s">
        <v>59</v>
      </c>
      <c r="E14" s="9" t="s">
        <v>349</v>
      </c>
      <c r="F14" s="9" t="s">
        <v>34</v>
      </c>
      <c r="G14" s="9"/>
      <c r="H14" s="9" t="s">
        <v>8</v>
      </c>
      <c r="I14" s="9" t="s">
        <v>143</v>
      </c>
      <c r="J14" s="9" t="s">
        <v>146</v>
      </c>
      <c r="K14" s="9" t="s">
        <v>145</v>
      </c>
      <c r="L14" s="9">
        <v>80</v>
      </c>
      <c r="M14" s="9" t="s">
        <v>157</v>
      </c>
      <c r="N14" s="9"/>
      <c r="O14" s="9" t="s">
        <v>60</v>
      </c>
      <c r="P14" s="16">
        <v>7295</v>
      </c>
      <c r="Q14" s="10">
        <v>5895</v>
      </c>
      <c r="R14" s="11">
        <v>45540</v>
      </c>
      <c r="S14" s="11">
        <v>45549</v>
      </c>
      <c r="T14" s="11"/>
      <c r="U14" s="25" t="s">
        <v>338</v>
      </c>
      <c r="V14" s="9"/>
      <c r="W14" s="9" t="s">
        <v>207</v>
      </c>
    </row>
    <row r="15" spans="1:23" s="1" customFormat="1" ht="20.2" customHeight="1" x14ac:dyDescent="0.3">
      <c r="A15" s="9">
        <v>14</v>
      </c>
      <c r="B15" s="9">
        <v>1401137</v>
      </c>
      <c r="C15" s="9">
        <v>1197500</v>
      </c>
      <c r="D15" s="9" t="s">
        <v>55</v>
      </c>
      <c r="E15" s="9" t="s">
        <v>352</v>
      </c>
      <c r="F15" s="9" t="s">
        <v>56</v>
      </c>
      <c r="G15" s="9"/>
      <c r="H15" s="9" t="s">
        <v>8</v>
      </c>
      <c r="I15" s="9" t="s">
        <v>254</v>
      </c>
      <c r="J15" s="9" t="s">
        <v>177</v>
      </c>
      <c r="K15" s="9"/>
      <c r="L15" s="9"/>
      <c r="M15" s="9"/>
      <c r="N15" s="9"/>
      <c r="O15" s="9" t="s">
        <v>57</v>
      </c>
      <c r="P15" s="16">
        <v>7849</v>
      </c>
      <c r="Q15" s="10" t="s">
        <v>16</v>
      </c>
      <c r="R15" s="11">
        <v>45539</v>
      </c>
      <c r="S15" s="11">
        <v>45551</v>
      </c>
      <c r="T15" s="11">
        <v>45560</v>
      </c>
      <c r="U15" s="25" t="s">
        <v>340</v>
      </c>
      <c r="V15" s="9" t="s">
        <v>283</v>
      </c>
      <c r="W15" s="9" t="s">
        <v>189</v>
      </c>
    </row>
    <row r="16" spans="1:23" s="1" customFormat="1" ht="20.2" customHeight="1" x14ac:dyDescent="0.3">
      <c r="A16" s="9">
        <v>15</v>
      </c>
      <c r="B16" s="9" t="s">
        <v>316</v>
      </c>
      <c r="C16" s="9"/>
      <c r="D16" s="9" t="s">
        <v>49</v>
      </c>
      <c r="E16" s="9" t="s">
        <v>352</v>
      </c>
      <c r="F16" s="9" t="s">
        <v>50</v>
      </c>
      <c r="G16" s="9"/>
      <c r="H16" s="9" t="s">
        <v>331</v>
      </c>
      <c r="I16" s="9" t="s">
        <v>143</v>
      </c>
      <c r="J16" s="9" t="s">
        <v>155</v>
      </c>
      <c r="K16" s="9" t="s">
        <v>148</v>
      </c>
      <c r="L16" s="9">
        <v>120</v>
      </c>
      <c r="M16" s="9" t="s">
        <v>158</v>
      </c>
      <c r="N16" s="9"/>
      <c r="O16" s="9" t="s">
        <v>51</v>
      </c>
      <c r="P16" s="16">
        <v>6180</v>
      </c>
      <c r="Q16" s="10">
        <v>9700</v>
      </c>
      <c r="R16" s="11">
        <v>45538</v>
      </c>
      <c r="S16" s="11">
        <v>45551</v>
      </c>
      <c r="T16" s="11">
        <v>45550</v>
      </c>
      <c r="U16" s="25" t="s">
        <v>339</v>
      </c>
      <c r="V16" s="9" t="s">
        <v>285</v>
      </c>
      <c r="W16" s="9" t="s">
        <v>183</v>
      </c>
    </row>
    <row r="17" spans="1:23" s="1" customFormat="1" ht="20.2" customHeight="1" x14ac:dyDescent="0.3">
      <c r="A17" s="9">
        <v>16</v>
      </c>
      <c r="B17" s="9">
        <v>1400149</v>
      </c>
      <c r="C17" s="9">
        <v>1196947</v>
      </c>
      <c r="D17" s="9" t="s">
        <v>52</v>
      </c>
      <c r="E17" s="9" t="s">
        <v>352</v>
      </c>
      <c r="F17" s="9" t="s">
        <v>53</v>
      </c>
      <c r="G17" s="9"/>
      <c r="H17" s="9" t="s">
        <v>8</v>
      </c>
      <c r="I17" s="9" t="s">
        <v>143</v>
      </c>
      <c r="J17" s="9" t="s">
        <v>155</v>
      </c>
      <c r="K17" s="9" t="s">
        <v>147</v>
      </c>
      <c r="L17" s="9">
        <v>80</v>
      </c>
      <c r="M17" s="9" t="s">
        <v>157</v>
      </c>
      <c r="N17" s="9"/>
      <c r="O17" s="9" t="s">
        <v>54</v>
      </c>
      <c r="P17" s="16">
        <v>11199</v>
      </c>
      <c r="Q17" s="10">
        <v>11310</v>
      </c>
      <c r="R17" s="11">
        <v>45539</v>
      </c>
      <c r="S17" s="11">
        <v>45553</v>
      </c>
      <c r="T17" s="11"/>
      <c r="U17" s="25" t="s">
        <v>338</v>
      </c>
      <c r="V17" s="9"/>
      <c r="W17" s="9" t="s">
        <v>207</v>
      </c>
    </row>
    <row r="18" spans="1:23" s="1" customFormat="1" ht="20.2" customHeight="1" x14ac:dyDescent="0.3">
      <c r="A18" s="9">
        <v>17</v>
      </c>
      <c r="B18" s="9">
        <v>1408099</v>
      </c>
      <c r="C18" s="9">
        <v>1201057</v>
      </c>
      <c r="D18" s="9" t="s">
        <v>30</v>
      </c>
      <c r="E18" s="9" t="s">
        <v>352</v>
      </c>
      <c r="F18" s="9" t="s">
        <v>61</v>
      </c>
      <c r="G18" s="9"/>
      <c r="H18" s="9" t="s">
        <v>8</v>
      </c>
      <c r="I18" s="9" t="s">
        <v>143</v>
      </c>
      <c r="J18" s="9" t="s">
        <v>146</v>
      </c>
      <c r="K18" s="9" t="s">
        <v>167</v>
      </c>
      <c r="L18" s="9">
        <v>80</v>
      </c>
      <c r="M18" s="9" t="s">
        <v>157</v>
      </c>
      <c r="N18" s="9"/>
      <c r="O18" s="9" t="s">
        <v>62</v>
      </c>
      <c r="P18" s="16">
        <v>7987</v>
      </c>
      <c r="Q18" s="10" t="s">
        <v>16</v>
      </c>
      <c r="R18" s="11">
        <v>45541</v>
      </c>
      <c r="S18" s="11">
        <v>45551</v>
      </c>
      <c r="T18" s="11">
        <v>45556</v>
      </c>
      <c r="U18" s="25" t="s">
        <v>340</v>
      </c>
      <c r="V18" s="9" t="s">
        <v>285</v>
      </c>
      <c r="W18" s="9" t="s">
        <v>183</v>
      </c>
    </row>
    <row r="19" spans="1:23" s="1" customFormat="1" ht="20.2" customHeight="1" x14ac:dyDescent="0.3">
      <c r="A19" s="9">
        <v>18</v>
      </c>
      <c r="B19" s="9" t="s">
        <v>295</v>
      </c>
      <c r="C19" s="9"/>
      <c r="D19" s="9" t="s">
        <v>38</v>
      </c>
      <c r="E19" s="9" t="s">
        <v>352</v>
      </c>
      <c r="F19" s="9" t="s">
        <v>37</v>
      </c>
      <c r="G19" s="9"/>
      <c r="H19" s="9" t="s">
        <v>38</v>
      </c>
      <c r="I19" s="9" t="s">
        <v>153</v>
      </c>
      <c r="J19" s="9" t="s">
        <v>281</v>
      </c>
      <c r="K19" s="9"/>
      <c r="L19" s="9"/>
      <c r="M19" s="9"/>
      <c r="N19" s="9"/>
      <c r="O19" s="9" t="s">
        <v>58</v>
      </c>
      <c r="P19" s="16">
        <v>9300</v>
      </c>
      <c r="Q19" s="10">
        <v>9300</v>
      </c>
      <c r="R19" s="11">
        <v>45539</v>
      </c>
      <c r="S19" s="11">
        <v>45550</v>
      </c>
      <c r="T19" s="11">
        <v>45552</v>
      </c>
      <c r="U19" s="25" t="s">
        <v>340</v>
      </c>
      <c r="V19" s="9" t="s">
        <v>285</v>
      </c>
      <c r="W19" s="9" t="s">
        <v>183</v>
      </c>
    </row>
    <row r="20" spans="1:23" s="1" customFormat="1" ht="20.2" customHeight="1" x14ac:dyDescent="0.3">
      <c r="A20" s="9">
        <v>19</v>
      </c>
      <c r="B20" s="9">
        <v>1513856</v>
      </c>
      <c r="C20" s="9">
        <v>1231946</v>
      </c>
      <c r="D20" s="9" t="s">
        <v>100</v>
      </c>
      <c r="E20" s="9" t="s">
        <v>352</v>
      </c>
      <c r="F20" s="9" t="s">
        <v>101</v>
      </c>
      <c r="G20" s="9"/>
      <c r="H20" s="9" t="s">
        <v>8</v>
      </c>
      <c r="I20" s="9" t="s">
        <v>254</v>
      </c>
      <c r="J20" s="9" t="s">
        <v>177</v>
      </c>
      <c r="K20" s="9"/>
      <c r="L20" s="9"/>
      <c r="M20" s="9"/>
      <c r="N20" s="9"/>
      <c r="O20" s="9" t="s">
        <v>57</v>
      </c>
      <c r="P20" s="16">
        <v>8849</v>
      </c>
      <c r="Q20" s="10" t="s">
        <v>16</v>
      </c>
      <c r="R20" s="11">
        <v>45538</v>
      </c>
      <c r="S20" s="11">
        <v>45581</v>
      </c>
      <c r="T20" s="11"/>
      <c r="U20" s="25" t="s">
        <v>338</v>
      </c>
      <c r="V20" s="9"/>
      <c r="W20" s="9" t="s">
        <v>207</v>
      </c>
    </row>
    <row r="21" spans="1:23" s="1" customFormat="1" ht="20.2" customHeight="1" x14ac:dyDescent="0.3">
      <c r="A21" s="9">
        <v>20</v>
      </c>
      <c r="B21" s="9">
        <v>1411691</v>
      </c>
      <c r="C21" s="9">
        <v>1202775</v>
      </c>
      <c r="D21" s="9" t="s">
        <v>63</v>
      </c>
      <c r="E21" s="9" t="s">
        <v>349</v>
      </c>
      <c r="F21" s="9" t="s">
        <v>34</v>
      </c>
      <c r="G21" s="9"/>
      <c r="H21" s="9" t="s">
        <v>8</v>
      </c>
      <c r="I21" s="9" t="s">
        <v>143</v>
      </c>
      <c r="J21" s="9" t="s">
        <v>146</v>
      </c>
      <c r="K21" s="9" t="s">
        <v>149</v>
      </c>
      <c r="L21" s="9">
        <v>120</v>
      </c>
      <c r="M21" s="9" t="s">
        <v>157</v>
      </c>
      <c r="N21" s="9"/>
      <c r="O21" s="9" t="s">
        <v>64</v>
      </c>
      <c r="P21" s="16">
        <v>10987</v>
      </c>
      <c r="Q21" s="10" t="s">
        <v>16</v>
      </c>
      <c r="R21" s="11">
        <v>45544</v>
      </c>
      <c r="S21" s="11">
        <v>45552</v>
      </c>
      <c r="T21" s="11">
        <v>45556</v>
      </c>
      <c r="U21" s="25" t="s">
        <v>340</v>
      </c>
      <c r="V21" s="9" t="s">
        <v>285</v>
      </c>
      <c r="W21" s="9" t="s">
        <v>183</v>
      </c>
    </row>
    <row r="22" spans="1:23" s="1" customFormat="1" ht="20.2" customHeight="1" x14ac:dyDescent="0.3">
      <c r="A22" s="9">
        <v>21</v>
      </c>
      <c r="B22" s="9" t="s">
        <v>299</v>
      </c>
      <c r="C22" s="9"/>
      <c r="D22" s="9" t="s">
        <v>28</v>
      </c>
      <c r="E22" s="9"/>
      <c r="F22" s="9"/>
      <c r="G22" s="9"/>
      <c r="H22" s="9" t="s">
        <v>47</v>
      </c>
      <c r="I22" s="9" t="s">
        <v>143</v>
      </c>
      <c r="J22" s="9" t="s">
        <v>155</v>
      </c>
      <c r="K22" s="9" t="s">
        <v>147</v>
      </c>
      <c r="L22" s="9">
        <v>100</v>
      </c>
      <c r="M22" s="9" t="s">
        <v>157</v>
      </c>
      <c r="N22" s="9"/>
      <c r="O22" s="9" t="s">
        <v>46</v>
      </c>
      <c r="P22" s="16">
        <v>9208</v>
      </c>
      <c r="Q22" s="10">
        <v>5781.75</v>
      </c>
      <c r="R22" s="11">
        <v>45536</v>
      </c>
      <c r="S22" s="11">
        <v>45554</v>
      </c>
      <c r="T22" s="11">
        <v>45556</v>
      </c>
      <c r="U22" s="25" t="s">
        <v>340</v>
      </c>
      <c r="V22" s="9" t="s">
        <v>285</v>
      </c>
      <c r="W22" s="9" t="s">
        <v>183</v>
      </c>
    </row>
    <row r="23" spans="1:23" s="1" customFormat="1" ht="20.2" customHeight="1" x14ac:dyDescent="0.3">
      <c r="A23" s="9">
        <v>22</v>
      </c>
      <c r="B23" s="9" t="s">
        <v>300</v>
      </c>
      <c r="C23" s="9"/>
      <c r="D23" s="9" t="s">
        <v>28</v>
      </c>
      <c r="E23" s="9"/>
      <c r="F23" s="9"/>
      <c r="G23" s="9"/>
      <c r="H23" s="9" t="s">
        <v>47</v>
      </c>
      <c r="I23" s="9" t="s">
        <v>143</v>
      </c>
      <c r="J23" s="9" t="s">
        <v>155</v>
      </c>
      <c r="K23" s="9" t="s">
        <v>147</v>
      </c>
      <c r="L23" s="9">
        <v>100</v>
      </c>
      <c r="M23" s="9" t="s">
        <v>158</v>
      </c>
      <c r="N23" s="9"/>
      <c r="O23" s="9" t="s">
        <v>48</v>
      </c>
      <c r="P23" s="16">
        <v>9208</v>
      </c>
      <c r="Q23" s="10">
        <v>1278.53</v>
      </c>
      <c r="R23" s="11">
        <v>45536</v>
      </c>
      <c r="S23" s="11">
        <v>45554</v>
      </c>
      <c r="T23" s="11">
        <v>45556</v>
      </c>
      <c r="U23" s="25" t="s">
        <v>340</v>
      </c>
      <c r="V23" s="9" t="s">
        <v>285</v>
      </c>
      <c r="W23" s="9" t="s">
        <v>183</v>
      </c>
    </row>
    <row r="24" spans="1:23" s="1" customFormat="1" ht="20.2" customHeight="1" x14ac:dyDescent="0.3">
      <c r="A24" s="9">
        <v>23</v>
      </c>
      <c r="B24" s="9" t="s">
        <v>317</v>
      </c>
      <c r="C24" s="9"/>
      <c r="D24" s="9" t="s">
        <v>77</v>
      </c>
      <c r="E24" s="9" t="s">
        <v>353</v>
      </c>
      <c r="F24" s="9" t="s">
        <v>78</v>
      </c>
      <c r="G24" s="9"/>
      <c r="H24" s="9" t="s">
        <v>331</v>
      </c>
      <c r="I24" s="9" t="s">
        <v>143</v>
      </c>
      <c r="J24" s="9" t="s">
        <v>146</v>
      </c>
      <c r="K24" s="9" t="s">
        <v>167</v>
      </c>
      <c r="L24" s="9">
        <v>120</v>
      </c>
      <c r="M24" s="9" t="s">
        <v>157</v>
      </c>
      <c r="N24" s="9"/>
      <c r="O24" s="9" t="s">
        <v>81</v>
      </c>
      <c r="P24" s="16">
        <v>4020</v>
      </c>
      <c r="Q24" s="10" t="s">
        <v>79</v>
      </c>
      <c r="R24" s="11">
        <v>45547</v>
      </c>
      <c r="S24" s="11">
        <v>45556</v>
      </c>
      <c r="T24" s="11">
        <v>45557</v>
      </c>
      <c r="U24" s="25" t="s">
        <v>340</v>
      </c>
      <c r="V24" s="9" t="s">
        <v>285</v>
      </c>
      <c r="W24" s="9" t="s">
        <v>183</v>
      </c>
    </row>
    <row r="25" spans="1:23" s="1" customFormat="1" ht="20.2" customHeight="1" x14ac:dyDescent="0.3">
      <c r="A25" s="9">
        <v>24</v>
      </c>
      <c r="B25" s="9" t="s">
        <v>318</v>
      </c>
      <c r="C25" s="9"/>
      <c r="D25" s="9" t="s">
        <v>77</v>
      </c>
      <c r="E25" s="9" t="s">
        <v>353</v>
      </c>
      <c r="F25" s="9" t="s">
        <v>78</v>
      </c>
      <c r="G25" s="9"/>
      <c r="H25" s="9" t="s">
        <v>331</v>
      </c>
      <c r="I25" s="9" t="s">
        <v>143</v>
      </c>
      <c r="J25" s="9" t="s">
        <v>146</v>
      </c>
      <c r="K25" s="9" t="s">
        <v>159</v>
      </c>
      <c r="L25" s="9">
        <v>120</v>
      </c>
      <c r="M25" s="9" t="s">
        <v>158</v>
      </c>
      <c r="N25" s="9"/>
      <c r="O25" s="9" t="s">
        <v>80</v>
      </c>
      <c r="P25" s="16">
        <v>4020</v>
      </c>
      <c r="Q25" s="10" t="s">
        <v>109</v>
      </c>
      <c r="R25" s="11">
        <v>45547</v>
      </c>
      <c r="S25" s="11">
        <v>45556</v>
      </c>
      <c r="T25" s="11">
        <v>45557</v>
      </c>
      <c r="U25" s="25" t="s">
        <v>340</v>
      </c>
      <c r="V25" s="9" t="s">
        <v>285</v>
      </c>
      <c r="W25" s="9" t="s">
        <v>183</v>
      </c>
    </row>
    <row r="26" spans="1:23" s="1" customFormat="1" ht="20.2" customHeight="1" x14ac:dyDescent="0.3">
      <c r="A26" s="9">
        <v>25</v>
      </c>
      <c r="B26" s="9">
        <v>1509211</v>
      </c>
      <c r="C26" s="9">
        <v>1230837</v>
      </c>
      <c r="D26" s="9" t="s">
        <v>137</v>
      </c>
      <c r="E26" s="9" t="s">
        <v>192</v>
      </c>
      <c r="F26" s="9" t="s">
        <v>138</v>
      </c>
      <c r="G26" s="9"/>
      <c r="H26" s="9" t="s">
        <v>8</v>
      </c>
      <c r="I26" s="9" t="s">
        <v>143</v>
      </c>
      <c r="J26" s="9" t="s">
        <v>144</v>
      </c>
      <c r="K26" s="9"/>
      <c r="L26" s="9"/>
      <c r="M26" s="9" t="s">
        <v>158</v>
      </c>
      <c r="N26" s="9" t="s">
        <v>158</v>
      </c>
      <c r="O26" s="9" t="s">
        <v>139</v>
      </c>
      <c r="P26" s="16">
        <v>9399</v>
      </c>
      <c r="Q26" s="10" t="s">
        <v>109</v>
      </c>
      <c r="R26" s="11">
        <v>45549</v>
      </c>
      <c r="S26" s="11">
        <v>45557</v>
      </c>
      <c r="T26" s="9"/>
      <c r="U26" s="25" t="s">
        <v>338</v>
      </c>
      <c r="V26" s="9" t="s">
        <v>32</v>
      </c>
      <c r="W26" s="9" t="s">
        <v>181</v>
      </c>
    </row>
    <row r="27" spans="1:23" s="1" customFormat="1" ht="20" customHeight="1" x14ac:dyDescent="0.3">
      <c r="A27" s="9">
        <v>26</v>
      </c>
      <c r="B27" s="9">
        <v>1536687</v>
      </c>
      <c r="C27" s="9">
        <v>1237682</v>
      </c>
      <c r="D27" s="9" t="s">
        <v>140</v>
      </c>
      <c r="E27" s="9" t="s">
        <v>350</v>
      </c>
      <c r="F27" s="9" t="s">
        <v>141</v>
      </c>
      <c r="G27" s="9"/>
      <c r="H27" s="9" t="s">
        <v>8</v>
      </c>
      <c r="I27" s="9" t="s">
        <v>254</v>
      </c>
      <c r="J27" s="9" t="s">
        <v>179</v>
      </c>
      <c r="K27" s="9"/>
      <c r="L27" s="9"/>
      <c r="M27" s="9"/>
      <c r="N27" s="9"/>
      <c r="O27" s="9" t="s">
        <v>142</v>
      </c>
      <c r="P27" s="16">
        <v>8349</v>
      </c>
      <c r="Q27" s="10" t="s">
        <v>109</v>
      </c>
      <c r="R27" s="11">
        <v>45550</v>
      </c>
      <c r="S27" s="11">
        <v>45557</v>
      </c>
      <c r="T27" s="11">
        <v>45559</v>
      </c>
      <c r="U27" s="25" t="s">
        <v>340</v>
      </c>
      <c r="V27" s="9" t="s">
        <v>283</v>
      </c>
      <c r="W27" s="9" t="s">
        <v>183</v>
      </c>
    </row>
    <row r="28" spans="1:23" s="1" customFormat="1" ht="20.2" customHeight="1" x14ac:dyDescent="0.3">
      <c r="A28" s="9">
        <v>27</v>
      </c>
      <c r="B28" s="9">
        <v>1520537</v>
      </c>
      <c r="C28" s="9">
        <v>1233624</v>
      </c>
      <c r="D28" s="9" t="s">
        <v>98</v>
      </c>
      <c r="E28" s="9" t="s">
        <v>349</v>
      </c>
      <c r="F28" s="9" t="s">
        <v>34</v>
      </c>
      <c r="G28" s="9"/>
      <c r="H28" s="9" t="s">
        <v>8</v>
      </c>
      <c r="I28" s="9" t="s">
        <v>143</v>
      </c>
      <c r="J28" s="9" t="s">
        <v>144</v>
      </c>
      <c r="K28" s="9"/>
      <c r="L28" s="9"/>
      <c r="M28" s="9" t="s">
        <v>158</v>
      </c>
      <c r="N28" s="9" t="s">
        <v>158</v>
      </c>
      <c r="O28" s="9" t="s">
        <v>99</v>
      </c>
      <c r="P28" s="16">
        <v>9399</v>
      </c>
      <c r="Q28" s="10" t="s">
        <v>16</v>
      </c>
      <c r="R28" s="11">
        <v>45550</v>
      </c>
      <c r="S28" s="11">
        <v>45559</v>
      </c>
      <c r="T28" s="11">
        <v>45566</v>
      </c>
      <c r="U28" s="25" t="s">
        <v>340</v>
      </c>
      <c r="V28" s="9" t="s">
        <v>283</v>
      </c>
      <c r="W28" s="9" t="s">
        <v>183</v>
      </c>
    </row>
    <row r="29" spans="1:23" s="1" customFormat="1" ht="20.2" customHeight="1" x14ac:dyDescent="0.3">
      <c r="A29" s="9">
        <v>28</v>
      </c>
      <c r="B29" s="9">
        <v>1422998</v>
      </c>
      <c r="C29" s="9">
        <v>1207350</v>
      </c>
      <c r="D29" s="9" t="s">
        <v>65</v>
      </c>
      <c r="E29" s="9" t="s">
        <v>352</v>
      </c>
      <c r="F29" s="9" t="s">
        <v>66</v>
      </c>
      <c r="G29" s="9"/>
      <c r="H29" s="9" t="s">
        <v>8</v>
      </c>
      <c r="I29" s="9" t="s">
        <v>254</v>
      </c>
      <c r="J29" s="9" t="s">
        <v>177</v>
      </c>
      <c r="K29" s="9"/>
      <c r="L29" s="9"/>
      <c r="M29" s="9"/>
      <c r="N29" s="9"/>
      <c r="O29" s="9" t="s">
        <v>57</v>
      </c>
      <c r="P29" s="16">
        <v>7849</v>
      </c>
      <c r="Q29" s="10">
        <v>7928</v>
      </c>
      <c r="R29" s="11">
        <v>45550</v>
      </c>
      <c r="S29" s="11">
        <v>45561</v>
      </c>
      <c r="T29" s="9"/>
      <c r="U29" s="25" t="s">
        <v>338</v>
      </c>
      <c r="V29" s="9" t="s">
        <v>283</v>
      </c>
      <c r="W29" s="9" t="s">
        <v>288</v>
      </c>
    </row>
    <row r="30" spans="1:23" s="1" customFormat="1" ht="20.2" customHeight="1" x14ac:dyDescent="0.3">
      <c r="A30" s="9">
        <v>29</v>
      </c>
      <c r="B30" s="9" t="s">
        <v>302</v>
      </c>
      <c r="C30" s="9"/>
      <c r="D30" s="9" t="s">
        <v>73</v>
      </c>
      <c r="E30" s="9" t="s">
        <v>349</v>
      </c>
      <c r="F30" s="9" t="s">
        <v>74</v>
      </c>
      <c r="G30" s="9" t="s">
        <v>75</v>
      </c>
      <c r="H30" s="9" t="s">
        <v>246</v>
      </c>
      <c r="I30" s="9" t="s">
        <v>143</v>
      </c>
      <c r="J30" s="9" t="s">
        <v>161</v>
      </c>
      <c r="K30" s="9" t="s">
        <v>148</v>
      </c>
      <c r="L30" s="9">
        <v>100</v>
      </c>
      <c r="M30" s="9" t="s">
        <v>158</v>
      </c>
      <c r="N30" s="9"/>
      <c r="O30" s="9" t="s">
        <v>76</v>
      </c>
      <c r="P30" s="16">
        <v>9450</v>
      </c>
      <c r="Q30" s="10">
        <v>9450</v>
      </c>
      <c r="R30" s="11">
        <v>45551</v>
      </c>
      <c r="S30" s="11">
        <v>45561</v>
      </c>
      <c r="T30" s="11"/>
      <c r="U30" s="25" t="s">
        <v>338</v>
      </c>
      <c r="V30" s="9"/>
      <c r="W30" s="9" t="s">
        <v>207</v>
      </c>
    </row>
    <row r="31" spans="1:23" s="1" customFormat="1" ht="20.2" customHeight="1" x14ac:dyDescent="0.3">
      <c r="A31" s="9">
        <v>30</v>
      </c>
      <c r="B31" s="9">
        <v>1459790</v>
      </c>
      <c r="C31" s="9">
        <v>1218257</v>
      </c>
      <c r="D31" s="9" t="s">
        <v>89</v>
      </c>
      <c r="E31" s="9" t="s">
        <v>352</v>
      </c>
      <c r="F31" s="9" t="s">
        <v>61</v>
      </c>
      <c r="G31" s="9"/>
      <c r="H31" s="9" t="s">
        <v>8</v>
      </c>
      <c r="I31" s="9" t="s">
        <v>143</v>
      </c>
      <c r="J31" s="9" t="s">
        <v>146</v>
      </c>
      <c r="K31" s="9" t="s">
        <v>149</v>
      </c>
      <c r="L31" s="9">
        <v>120</v>
      </c>
      <c r="M31" s="9" t="s">
        <v>158</v>
      </c>
      <c r="N31" s="9"/>
      <c r="O31" s="9" t="s">
        <v>90</v>
      </c>
      <c r="P31" s="16">
        <v>7460</v>
      </c>
      <c r="Q31" s="10" t="s">
        <v>16</v>
      </c>
      <c r="R31" s="11">
        <v>45548</v>
      </c>
      <c r="S31" s="11">
        <v>45561</v>
      </c>
      <c r="T31" s="11">
        <v>45568</v>
      </c>
      <c r="U31" s="25" t="s">
        <v>340</v>
      </c>
      <c r="V31" s="9" t="s">
        <v>285</v>
      </c>
      <c r="W31" s="9" t="s">
        <v>183</v>
      </c>
    </row>
    <row r="32" spans="1:23" s="1" customFormat="1" ht="20.2" customHeight="1" x14ac:dyDescent="0.3">
      <c r="A32" s="9">
        <v>31</v>
      </c>
      <c r="B32" s="9">
        <v>1455486</v>
      </c>
      <c r="C32" s="9">
        <v>1217163</v>
      </c>
      <c r="D32" s="9" t="s">
        <v>93</v>
      </c>
      <c r="E32" s="9" t="s">
        <v>352</v>
      </c>
      <c r="F32" s="9" t="s">
        <v>61</v>
      </c>
      <c r="G32" s="9"/>
      <c r="H32" s="9" t="s">
        <v>8</v>
      </c>
      <c r="I32" s="9" t="s">
        <v>143</v>
      </c>
      <c r="J32" s="9" t="s">
        <v>146</v>
      </c>
      <c r="K32" s="9" t="s">
        <v>168</v>
      </c>
      <c r="L32" s="9">
        <v>140</v>
      </c>
      <c r="M32" s="9" t="s">
        <v>166</v>
      </c>
      <c r="N32" s="9" t="s">
        <v>162</v>
      </c>
      <c r="O32" s="9" t="s">
        <v>94</v>
      </c>
      <c r="P32" s="16">
        <v>9528</v>
      </c>
      <c r="Q32" s="10" t="s">
        <v>16</v>
      </c>
      <c r="R32" s="11">
        <v>45548</v>
      </c>
      <c r="S32" s="11">
        <v>45561</v>
      </c>
      <c r="T32" s="11">
        <v>45568</v>
      </c>
      <c r="U32" s="25" t="s">
        <v>340</v>
      </c>
      <c r="V32" s="9" t="s">
        <v>285</v>
      </c>
      <c r="W32" s="9" t="s">
        <v>183</v>
      </c>
    </row>
    <row r="33" spans="1:23" s="1" customFormat="1" ht="20.2" customHeight="1" x14ac:dyDescent="0.3">
      <c r="A33" s="9">
        <v>32</v>
      </c>
      <c r="B33" s="9">
        <v>1504407</v>
      </c>
      <c r="C33" s="9">
        <v>1229760</v>
      </c>
      <c r="D33" s="9" t="s">
        <v>135</v>
      </c>
      <c r="E33" s="9" t="s">
        <v>349</v>
      </c>
      <c r="F33" s="9" t="s">
        <v>34</v>
      </c>
      <c r="G33" s="9"/>
      <c r="H33" s="9" t="s">
        <v>8</v>
      </c>
      <c r="I33" s="9" t="s">
        <v>143</v>
      </c>
      <c r="J33" s="9" t="s">
        <v>155</v>
      </c>
      <c r="K33" s="9" t="s">
        <v>148</v>
      </c>
      <c r="L33" s="9">
        <v>120</v>
      </c>
      <c r="M33" s="9" t="s">
        <v>162</v>
      </c>
      <c r="N33" s="9"/>
      <c r="O33" s="9" t="s">
        <v>136</v>
      </c>
      <c r="P33" s="16">
        <v>12999</v>
      </c>
      <c r="Q33" s="10" t="s">
        <v>16</v>
      </c>
      <c r="R33" s="11">
        <v>45549</v>
      </c>
      <c r="S33" s="11">
        <v>45562</v>
      </c>
      <c r="T33" s="11">
        <v>45567</v>
      </c>
      <c r="U33" s="25" t="s">
        <v>340</v>
      </c>
      <c r="V33" s="9" t="s">
        <v>285</v>
      </c>
      <c r="W33" s="9" t="s">
        <v>183</v>
      </c>
    </row>
    <row r="34" spans="1:23" s="1" customFormat="1" ht="20.2" customHeight="1" x14ac:dyDescent="0.3">
      <c r="A34" s="9">
        <v>33</v>
      </c>
      <c r="B34" s="9">
        <v>1423361</v>
      </c>
      <c r="C34" s="9">
        <v>1207484</v>
      </c>
      <c r="D34" s="9" t="s">
        <v>67</v>
      </c>
      <c r="E34" s="9" t="s">
        <v>352</v>
      </c>
      <c r="F34" s="9" t="s">
        <v>68</v>
      </c>
      <c r="G34" s="9"/>
      <c r="H34" s="9" t="s">
        <v>8</v>
      </c>
      <c r="I34" s="9" t="s">
        <v>143</v>
      </c>
      <c r="J34" s="9" t="s">
        <v>155</v>
      </c>
      <c r="K34" s="9" t="s">
        <v>145</v>
      </c>
      <c r="L34" s="9">
        <v>90</v>
      </c>
      <c r="M34" s="9" t="s">
        <v>158</v>
      </c>
      <c r="N34" s="9"/>
      <c r="O34" s="9" t="s">
        <v>71</v>
      </c>
      <c r="P34" s="16">
        <v>5999</v>
      </c>
      <c r="Q34" s="10" t="s">
        <v>16</v>
      </c>
      <c r="R34" s="11">
        <v>45547</v>
      </c>
      <c r="S34" s="11">
        <v>45564</v>
      </c>
      <c r="T34" s="11"/>
      <c r="U34" s="25" t="s">
        <v>338</v>
      </c>
      <c r="V34" s="9"/>
      <c r="W34" s="9"/>
    </row>
    <row r="35" spans="1:23" s="1" customFormat="1" ht="20.2" customHeight="1" x14ac:dyDescent="0.3">
      <c r="A35" s="9">
        <v>34</v>
      </c>
      <c r="B35" s="9">
        <v>1415725</v>
      </c>
      <c r="C35" s="9">
        <v>1204732</v>
      </c>
      <c r="D35" s="9" t="s">
        <v>69</v>
      </c>
      <c r="E35" s="9" t="s">
        <v>349</v>
      </c>
      <c r="F35" s="9" t="s">
        <v>70</v>
      </c>
      <c r="G35" s="9"/>
      <c r="H35" s="9" t="s">
        <v>8</v>
      </c>
      <c r="I35" s="9" t="s">
        <v>143</v>
      </c>
      <c r="J35" s="9" t="s">
        <v>155</v>
      </c>
      <c r="K35" s="9" t="s">
        <v>148</v>
      </c>
      <c r="L35" s="9">
        <v>100</v>
      </c>
      <c r="M35" s="9" t="s">
        <v>158</v>
      </c>
      <c r="N35" s="9"/>
      <c r="O35" s="9" t="s">
        <v>72</v>
      </c>
      <c r="P35" s="16">
        <v>11949</v>
      </c>
      <c r="Q35" s="10">
        <v>10749</v>
      </c>
      <c r="R35" s="11">
        <v>45547</v>
      </c>
      <c r="S35" s="11">
        <v>45564</v>
      </c>
      <c r="T35" s="11">
        <v>45567</v>
      </c>
      <c r="U35" s="25" t="s">
        <v>340</v>
      </c>
      <c r="V35" s="9" t="s">
        <v>285</v>
      </c>
      <c r="W35" s="9" t="s">
        <v>183</v>
      </c>
    </row>
    <row r="36" spans="1:23" s="1" customFormat="1" ht="20.2" customHeight="1" x14ac:dyDescent="0.3">
      <c r="A36" s="9">
        <v>35</v>
      </c>
      <c r="B36" s="9">
        <v>1499397</v>
      </c>
      <c r="C36" s="9">
        <v>1228586</v>
      </c>
      <c r="D36" s="9" t="s">
        <v>30</v>
      </c>
      <c r="E36" s="9" t="s">
        <v>352</v>
      </c>
      <c r="F36" s="9" t="s">
        <v>82</v>
      </c>
      <c r="G36" s="9"/>
      <c r="H36" s="9" t="s">
        <v>8</v>
      </c>
      <c r="I36" s="9" t="s">
        <v>143</v>
      </c>
      <c r="J36" s="9" t="s">
        <v>161</v>
      </c>
      <c r="K36" s="9" t="s">
        <v>148</v>
      </c>
      <c r="L36" s="9">
        <v>80</v>
      </c>
      <c r="M36" s="9" t="s">
        <v>157</v>
      </c>
      <c r="N36" s="9"/>
      <c r="O36" s="9" t="s">
        <v>85</v>
      </c>
      <c r="P36" s="16">
        <v>16599</v>
      </c>
      <c r="Q36" s="10" t="s">
        <v>16</v>
      </c>
      <c r="R36" s="11">
        <v>45548</v>
      </c>
      <c r="S36" s="11">
        <v>45565</v>
      </c>
      <c r="T36" s="11">
        <v>45568</v>
      </c>
      <c r="U36" s="25" t="s">
        <v>340</v>
      </c>
      <c r="V36" s="9" t="s">
        <v>285</v>
      </c>
      <c r="W36" s="9" t="s">
        <v>183</v>
      </c>
    </row>
    <row r="37" spans="1:23" s="1" customFormat="1" ht="20.2" customHeight="1" x14ac:dyDescent="0.3">
      <c r="A37" s="9">
        <v>36</v>
      </c>
      <c r="B37" s="9">
        <v>1458696</v>
      </c>
      <c r="C37" s="9">
        <v>1217982</v>
      </c>
      <c r="D37" s="9" t="s">
        <v>83</v>
      </c>
      <c r="E37" s="9" t="s">
        <v>351</v>
      </c>
      <c r="F37" s="9" t="s">
        <v>24</v>
      </c>
      <c r="G37" s="9"/>
      <c r="H37" s="9" t="s">
        <v>8</v>
      </c>
      <c r="I37" s="9" t="s">
        <v>143</v>
      </c>
      <c r="J37" s="9" t="s">
        <v>155</v>
      </c>
      <c r="K37" s="9" t="s">
        <v>148</v>
      </c>
      <c r="L37" s="9">
        <v>80</v>
      </c>
      <c r="M37" s="9" t="s">
        <v>157</v>
      </c>
      <c r="N37" s="9"/>
      <c r="O37" s="9" t="s">
        <v>84</v>
      </c>
      <c r="P37" s="16">
        <v>10999</v>
      </c>
      <c r="Q37" s="10" t="s">
        <v>16</v>
      </c>
      <c r="R37" s="11">
        <v>45548</v>
      </c>
      <c r="S37" s="11">
        <v>45565</v>
      </c>
      <c r="T37" s="11">
        <v>45581</v>
      </c>
      <c r="U37" s="25" t="s">
        <v>341</v>
      </c>
      <c r="V37" s="9" t="s">
        <v>283</v>
      </c>
      <c r="W37" s="9" t="s">
        <v>183</v>
      </c>
    </row>
    <row r="38" spans="1:23" s="1" customFormat="1" ht="20.2" customHeight="1" x14ac:dyDescent="0.3">
      <c r="A38" s="9">
        <v>37</v>
      </c>
      <c r="B38" s="9">
        <v>1480814</v>
      </c>
      <c r="C38" s="9">
        <v>1223964</v>
      </c>
      <c r="D38" s="9" t="s">
        <v>86</v>
      </c>
      <c r="E38" s="9" t="s">
        <v>192</v>
      </c>
      <c r="F38" s="9" t="s">
        <v>87</v>
      </c>
      <c r="G38" s="9"/>
      <c r="H38" s="9" t="s">
        <v>8</v>
      </c>
      <c r="I38" s="9" t="s">
        <v>143</v>
      </c>
      <c r="J38" s="9" t="s">
        <v>155</v>
      </c>
      <c r="K38" s="9" t="s">
        <v>148</v>
      </c>
      <c r="L38" s="9">
        <v>140</v>
      </c>
      <c r="M38" s="9" t="s">
        <v>160</v>
      </c>
      <c r="N38" s="9"/>
      <c r="O38" s="9" t="s">
        <v>88</v>
      </c>
      <c r="P38" s="16">
        <v>13099</v>
      </c>
      <c r="Q38" s="10" t="s">
        <v>16</v>
      </c>
      <c r="R38" s="11">
        <v>45548</v>
      </c>
      <c r="S38" s="11">
        <v>45565</v>
      </c>
      <c r="T38" s="11">
        <v>45568</v>
      </c>
      <c r="U38" s="25" t="s">
        <v>340</v>
      </c>
      <c r="V38" s="9" t="s">
        <v>283</v>
      </c>
      <c r="W38" s="9" t="s">
        <v>183</v>
      </c>
    </row>
    <row r="39" spans="1:23" s="1" customFormat="1" ht="20.2" customHeight="1" x14ac:dyDescent="0.3">
      <c r="A39" s="9">
        <v>38</v>
      </c>
      <c r="B39" s="9">
        <v>1492471</v>
      </c>
      <c r="C39" s="9">
        <v>1227052</v>
      </c>
      <c r="D39" s="9" t="s">
        <v>91</v>
      </c>
      <c r="E39" s="9" t="s">
        <v>349</v>
      </c>
      <c r="F39" s="9" t="s">
        <v>34</v>
      </c>
      <c r="G39" s="9"/>
      <c r="H39" s="9" t="s">
        <v>8</v>
      </c>
      <c r="I39" s="9" t="s">
        <v>143</v>
      </c>
      <c r="J39" s="9" t="s">
        <v>155</v>
      </c>
      <c r="K39" s="9" t="s">
        <v>147</v>
      </c>
      <c r="L39" s="9">
        <v>120</v>
      </c>
      <c r="M39" s="9" t="s">
        <v>163</v>
      </c>
      <c r="N39" s="9"/>
      <c r="O39" s="9" t="s">
        <v>92</v>
      </c>
      <c r="P39" s="16">
        <v>13849</v>
      </c>
      <c r="Q39" s="10" t="s">
        <v>16</v>
      </c>
      <c r="R39" s="11">
        <v>45548</v>
      </c>
      <c r="S39" s="11">
        <v>45565</v>
      </c>
      <c r="T39" s="11">
        <v>45585</v>
      </c>
      <c r="U39" s="25" t="s">
        <v>341</v>
      </c>
      <c r="V39" s="9" t="s">
        <v>285</v>
      </c>
      <c r="W39" s="9" t="s">
        <v>183</v>
      </c>
    </row>
    <row r="40" spans="1:23" s="1" customFormat="1" ht="20.2" customHeight="1" x14ac:dyDescent="0.3">
      <c r="A40" s="9">
        <v>39</v>
      </c>
      <c r="B40" s="9">
        <v>1507912</v>
      </c>
      <c r="C40" s="9">
        <v>1230527</v>
      </c>
      <c r="D40" s="9" t="s">
        <v>95</v>
      </c>
      <c r="E40" s="9" t="s">
        <v>352</v>
      </c>
      <c r="F40" s="9" t="s">
        <v>96</v>
      </c>
      <c r="G40" s="9"/>
      <c r="H40" s="9" t="s">
        <v>8</v>
      </c>
      <c r="I40" s="9" t="s">
        <v>156</v>
      </c>
      <c r="J40" s="9" t="s">
        <v>154</v>
      </c>
      <c r="K40" s="9"/>
      <c r="L40" s="9"/>
      <c r="M40" s="9" t="s">
        <v>158</v>
      </c>
      <c r="N40" s="9" t="s">
        <v>162</v>
      </c>
      <c r="O40" s="9" t="s">
        <v>97</v>
      </c>
      <c r="P40" s="16">
        <v>21999</v>
      </c>
      <c r="Q40" s="10" t="s">
        <v>16</v>
      </c>
      <c r="R40" s="11">
        <v>45548</v>
      </c>
      <c r="S40" s="11">
        <v>45565</v>
      </c>
      <c r="T40" s="9"/>
      <c r="U40" s="25" t="s">
        <v>338</v>
      </c>
      <c r="V40" s="9" t="s">
        <v>285</v>
      </c>
      <c r="W40" s="9" t="s">
        <v>183</v>
      </c>
    </row>
    <row r="41" spans="1:23" s="1" customFormat="1" ht="20.2" customHeight="1" x14ac:dyDescent="0.3">
      <c r="A41" s="9">
        <v>40</v>
      </c>
      <c r="B41" s="9">
        <v>1525747</v>
      </c>
      <c r="C41" s="9">
        <v>1234936</v>
      </c>
      <c r="D41" s="9" t="s">
        <v>102</v>
      </c>
      <c r="E41" s="9" t="s">
        <v>349</v>
      </c>
      <c r="F41" s="9" t="s">
        <v>34</v>
      </c>
      <c r="G41" s="9"/>
      <c r="H41" s="9" t="s">
        <v>8</v>
      </c>
      <c r="I41" s="9" t="s">
        <v>143</v>
      </c>
      <c r="J41" s="9" t="s">
        <v>155</v>
      </c>
      <c r="K41" s="9" t="s">
        <v>148</v>
      </c>
      <c r="L41" s="9">
        <v>80</v>
      </c>
      <c r="M41" s="9" t="s">
        <v>157</v>
      </c>
      <c r="N41" s="9"/>
      <c r="O41" s="9" t="s">
        <v>84</v>
      </c>
      <c r="P41" s="16">
        <v>10999</v>
      </c>
      <c r="Q41" s="10" t="s">
        <v>16</v>
      </c>
      <c r="R41" s="11">
        <v>45548</v>
      </c>
      <c r="S41" s="11">
        <v>45565</v>
      </c>
      <c r="T41" s="11">
        <v>45580</v>
      </c>
      <c r="U41" s="25" t="s">
        <v>340</v>
      </c>
      <c r="V41" s="9" t="s">
        <v>285</v>
      </c>
      <c r="W41" s="9" t="s">
        <v>183</v>
      </c>
    </row>
    <row r="42" spans="1:23" s="1" customFormat="1" ht="20.2" customHeight="1" x14ac:dyDescent="0.3">
      <c r="A42" s="9">
        <v>41</v>
      </c>
      <c r="B42" s="9">
        <v>1536313</v>
      </c>
      <c r="C42" s="9">
        <v>1237601</v>
      </c>
      <c r="D42" s="9" t="s">
        <v>104</v>
      </c>
      <c r="E42" s="9" t="s">
        <v>352</v>
      </c>
      <c r="F42" s="9" t="s">
        <v>101</v>
      </c>
      <c r="G42" s="9"/>
      <c r="H42" s="9" t="s">
        <v>8</v>
      </c>
      <c r="I42" s="9" t="s">
        <v>143</v>
      </c>
      <c r="J42" s="9" t="s">
        <v>161</v>
      </c>
      <c r="K42" s="9" t="s">
        <v>148</v>
      </c>
      <c r="L42" s="9">
        <v>90</v>
      </c>
      <c r="M42" s="9" t="s">
        <v>158</v>
      </c>
      <c r="N42" s="9"/>
      <c r="O42" s="9" t="s">
        <v>105</v>
      </c>
      <c r="P42" s="16">
        <v>17249</v>
      </c>
      <c r="Q42" s="10" t="s">
        <v>16</v>
      </c>
      <c r="R42" s="11">
        <v>45548</v>
      </c>
      <c r="S42" s="11">
        <v>45565</v>
      </c>
      <c r="T42" s="11">
        <v>45569</v>
      </c>
      <c r="U42" s="25" t="s">
        <v>340</v>
      </c>
      <c r="V42" s="9" t="s">
        <v>285</v>
      </c>
      <c r="W42" s="9" t="s">
        <v>183</v>
      </c>
    </row>
    <row r="43" spans="1:23" s="1" customFormat="1" ht="20.2" customHeight="1" x14ac:dyDescent="0.3">
      <c r="A43" s="9">
        <v>42</v>
      </c>
      <c r="B43" s="9">
        <v>1505609</v>
      </c>
      <c r="C43" s="9">
        <v>1230031</v>
      </c>
      <c r="D43" s="9" t="s">
        <v>132</v>
      </c>
      <c r="E43" s="9" t="s">
        <v>349</v>
      </c>
      <c r="F43" s="9" t="s">
        <v>133</v>
      </c>
      <c r="G43" s="9"/>
      <c r="H43" s="9" t="s">
        <v>8</v>
      </c>
      <c r="I43" s="9" t="s">
        <v>254</v>
      </c>
      <c r="J43" s="9" t="s">
        <v>177</v>
      </c>
      <c r="K43" s="9"/>
      <c r="L43" s="9"/>
      <c r="M43" s="9"/>
      <c r="N43" s="9"/>
      <c r="O43" s="9" t="s">
        <v>134</v>
      </c>
      <c r="P43" s="16">
        <v>8349</v>
      </c>
      <c r="Q43" s="10" t="s">
        <v>16</v>
      </c>
      <c r="R43" s="11">
        <v>45549</v>
      </c>
      <c r="S43" s="11">
        <v>45581</v>
      </c>
      <c r="T43" s="11">
        <v>45586</v>
      </c>
      <c r="U43" s="25" t="s">
        <v>340</v>
      </c>
      <c r="V43" s="9" t="s">
        <v>285</v>
      </c>
      <c r="W43" s="9" t="s">
        <v>183</v>
      </c>
    </row>
    <row r="44" spans="1:23" s="1" customFormat="1" ht="20.2" customHeight="1" x14ac:dyDescent="0.3">
      <c r="A44" s="9">
        <v>43</v>
      </c>
      <c r="B44" s="9">
        <v>1612229</v>
      </c>
      <c r="C44" s="9">
        <v>1254076</v>
      </c>
      <c r="D44" s="9" t="s">
        <v>112</v>
      </c>
      <c r="E44" s="9" t="s">
        <v>352</v>
      </c>
      <c r="F44" s="9" t="s">
        <v>56</v>
      </c>
      <c r="G44" s="9"/>
      <c r="H44" s="9" t="s">
        <v>8</v>
      </c>
      <c r="I44" s="9" t="s">
        <v>254</v>
      </c>
      <c r="J44" s="9" t="s">
        <v>178</v>
      </c>
      <c r="K44" s="9"/>
      <c r="L44" s="9"/>
      <c r="M44" s="9"/>
      <c r="N44" s="9"/>
      <c r="O44" s="9" t="s">
        <v>25</v>
      </c>
      <c r="P44" s="16">
        <v>7849</v>
      </c>
      <c r="Q44" s="10" t="s">
        <v>16</v>
      </c>
      <c r="R44" s="11">
        <v>45549</v>
      </c>
      <c r="S44" s="11">
        <v>45594</v>
      </c>
      <c r="T44" s="11">
        <v>45595</v>
      </c>
      <c r="U44" s="25" t="s">
        <v>340</v>
      </c>
      <c r="V44" s="9" t="s">
        <v>285</v>
      </c>
      <c r="W44" s="9" t="s">
        <v>183</v>
      </c>
    </row>
    <row r="45" spans="1:23" s="1" customFormat="1" ht="20.2" customHeight="1" x14ac:dyDescent="0.3">
      <c r="A45" s="9">
        <v>44</v>
      </c>
      <c r="B45" s="9">
        <v>1673771</v>
      </c>
      <c r="C45" s="9">
        <v>1269559</v>
      </c>
      <c r="D45" s="9" t="s">
        <v>113</v>
      </c>
      <c r="E45" s="9" t="s">
        <v>349</v>
      </c>
      <c r="F45" s="9" t="s">
        <v>34</v>
      </c>
      <c r="G45" s="9"/>
      <c r="H45" s="9" t="s">
        <v>8</v>
      </c>
      <c r="I45" s="9" t="s">
        <v>143</v>
      </c>
      <c r="J45" s="9" t="s">
        <v>144</v>
      </c>
      <c r="K45" s="9"/>
      <c r="L45" s="9"/>
      <c r="M45" s="9" t="s">
        <v>158</v>
      </c>
      <c r="N45" s="9" t="s">
        <v>158</v>
      </c>
      <c r="O45" s="9" t="s">
        <v>114</v>
      </c>
      <c r="P45" s="16">
        <v>9399</v>
      </c>
      <c r="Q45" s="10" t="s">
        <v>109</v>
      </c>
      <c r="R45" s="11">
        <v>45549</v>
      </c>
      <c r="S45" s="11">
        <v>45594</v>
      </c>
      <c r="T45" s="11">
        <v>45580</v>
      </c>
      <c r="U45" s="25" t="s">
        <v>339</v>
      </c>
      <c r="V45" s="9" t="s">
        <v>285</v>
      </c>
      <c r="W45" s="9" t="s">
        <v>183</v>
      </c>
    </row>
    <row r="46" spans="1:23" s="1" customFormat="1" ht="20.2" customHeight="1" x14ac:dyDescent="0.3">
      <c r="A46" s="9">
        <v>45</v>
      </c>
      <c r="B46" s="9">
        <v>1667352</v>
      </c>
      <c r="C46" s="9">
        <v>1267819</v>
      </c>
      <c r="D46" s="9" t="s">
        <v>115</v>
      </c>
      <c r="E46" s="9" t="s">
        <v>349</v>
      </c>
      <c r="F46" s="9" t="s">
        <v>116</v>
      </c>
      <c r="G46" s="9"/>
      <c r="H46" s="9" t="s">
        <v>8</v>
      </c>
      <c r="I46" s="9" t="s">
        <v>143</v>
      </c>
      <c r="J46" s="9" t="s">
        <v>146</v>
      </c>
      <c r="K46" s="9" t="s">
        <v>149</v>
      </c>
      <c r="L46" s="9">
        <v>140</v>
      </c>
      <c r="M46" s="9" t="s">
        <v>158</v>
      </c>
      <c r="N46" s="9"/>
      <c r="O46" s="9" t="s">
        <v>117</v>
      </c>
      <c r="P46" s="16">
        <v>11817</v>
      </c>
      <c r="Q46" s="10" t="s">
        <v>109</v>
      </c>
      <c r="R46" s="11">
        <v>45549</v>
      </c>
      <c r="S46" s="11">
        <v>45594</v>
      </c>
      <c r="T46" s="11">
        <v>45580</v>
      </c>
      <c r="U46" s="25" t="s">
        <v>339</v>
      </c>
      <c r="V46" s="9" t="s">
        <v>285</v>
      </c>
      <c r="W46" s="9" t="s">
        <v>183</v>
      </c>
    </row>
    <row r="47" spans="1:23" s="1" customFormat="1" ht="20.2" customHeight="1" x14ac:dyDescent="0.3">
      <c r="A47" s="9">
        <v>46</v>
      </c>
      <c r="B47" s="9">
        <v>1649781</v>
      </c>
      <c r="C47" s="9">
        <v>1263160</v>
      </c>
      <c r="D47" s="9" t="s">
        <v>118</v>
      </c>
      <c r="E47" s="9" t="s">
        <v>352</v>
      </c>
      <c r="F47" s="9" t="s">
        <v>82</v>
      </c>
      <c r="G47" s="9"/>
      <c r="H47" s="9" t="s">
        <v>8</v>
      </c>
      <c r="I47" s="9" t="s">
        <v>254</v>
      </c>
      <c r="J47" s="9" t="s">
        <v>179</v>
      </c>
      <c r="K47" s="9"/>
      <c r="L47" s="9"/>
      <c r="M47" s="9"/>
      <c r="N47" s="9"/>
      <c r="O47" s="9" t="s">
        <v>119</v>
      </c>
      <c r="P47" s="16">
        <v>8349</v>
      </c>
      <c r="Q47" s="10" t="s">
        <v>109</v>
      </c>
      <c r="R47" s="11">
        <v>45549</v>
      </c>
      <c r="S47" s="11">
        <v>45594</v>
      </c>
      <c r="T47" s="11">
        <v>45584</v>
      </c>
      <c r="U47" s="25" t="s">
        <v>339</v>
      </c>
      <c r="V47" s="9" t="s">
        <v>285</v>
      </c>
      <c r="W47" s="9" t="s">
        <v>183</v>
      </c>
    </row>
    <row r="48" spans="1:23" s="1" customFormat="1" ht="20.2" customHeight="1" x14ac:dyDescent="0.3">
      <c r="A48" s="9">
        <v>47</v>
      </c>
      <c r="B48" s="9">
        <v>1681476</v>
      </c>
      <c r="C48" s="9">
        <v>1271813</v>
      </c>
      <c r="D48" s="9" t="s">
        <v>122</v>
      </c>
      <c r="E48" s="9" t="s">
        <v>352</v>
      </c>
      <c r="F48" s="9" t="s">
        <v>123</v>
      </c>
      <c r="G48" s="9"/>
      <c r="H48" s="9" t="s">
        <v>8</v>
      </c>
      <c r="I48" s="9" t="s">
        <v>143</v>
      </c>
      <c r="J48" s="9" t="s">
        <v>146</v>
      </c>
      <c r="K48" s="9" t="s">
        <v>167</v>
      </c>
      <c r="L48" s="9">
        <v>120</v>
      </c>
      <c r="M48" s="9" t="s">
        <v>157</v>
      </c>
      <c r="N48" s="9"/>
      <c r="O48" s="9" t="s">
        <v>124</v>
      </c>
      <c r="P48" s="16">
        <v>17886</v>
      </c>
      <c r="Q48" s="10" t="s">
        <v>109</v>
      </c>
      <c r="R48" s="11">
        <v>45549</v>
      </c>
      <c r="S48" s="11">
        <v>45594</v>
      </c>
      <c r="T48" s="9"/>
      <c r="U48" s="25" t="s">
        <v>338</v>
      </c>
      <c r="V48" s="9"/>
      <c r="W48" s="9" t="s">
        <v>207</v>
      </c>
    </row>
    <row r="49" spans="1:23" s="1" customFormat="1" ht="20.2" customHeight="1" x14ac:dyDescent="0.3">
      <c r="A49" s="9">
        <v>48</v>
      </c>
      <c r="B49" s="9">
        <v>1677530</v>
      </c>
      <c r="C49" s="9">
        <v>1270704</v>
      </c>
      <c r="D49" s="9" t="s">
        <v>125</v>
      </c>
      <c r="E49" s="9" t="s">
        <v>352</v>
      </c>
      <c r="F49" s="9" t="s">
        <v>61</v>
      </c>
      <c r="G49" s="9"/>
      <c r="H49" s="9" t="s">
        <v>8</v>
      </c>
      <c r="I49" s="9" t="s">
        <v>143</v>
      </c>
      <c r="J49" s="9" t="s">
        <v>146</v>
      </c>
      <c r="K49" s="9" t="s">
        <v>149</v>
      </c>
      <c r="L49" s="9">
        <v>120</v>
      </c>
      <c r="M49" s="9" t="s">
        <v>157</v>
      </c>
      <c r="N49" s="9"/>
      <c r="O49" s="9" t="s">
        <v>126</v>
      </c>
      <c r="P49" s="16">
        <v>10987</v>
      </c>
      <c r="Q49" s="10" t="s">
        <v>16</v>
      </c>
      <c r="R49" s="11">
        <v>45549</v>
      </c>
      <c r="S49" s="11">
        <v>45594</v>
      </c>
      <c r="T49" s="11">
        <v>45578</v>
      </c>
      <c r="U49" s="25" t="s">
        <v>339</v>
      </c>
      <c r="V49" s="9" t="s">
        <v>285</v>
      </c>
      <c r="W49" s="9" t="s">
        <v>183</v>
      </c>
    </row>
    <row r="50" spans="1:23" s="1" customFormat="1" ht="20.2" customHeight="1" x14ac:dyDescent="0.3">
      <c r="A50" s="9">
        <v>49</v>
      </c>
      <c r="B50" s="9">
        <v>1657744</v>
      </c>
      <c r="C50" s="9">
        <v>1265268</v>
      </c>
      <c r="D50" s="9" t="s">
        <v>128</v>
      </c>
      <c r="E50" s="9" t="s">
        <v>353</v>
      </c>
      <c r="F50" s="9" t="s">
        <v>129</v>
      </c>
      <c r="G50" s="9"/>
      <c r="H50" s="9" t="s">
        <v>8</v>
      </c>
      <c r="I50" s="9" t="s">
        <v>254</v>
      </c>
      <c r="J50" s="9" t="s">
        <v>177</v>
      </c>
      <c r="K50" s="9"/>
      <c r="L50" s="9"/>
      <c r="M50" s="9"/>
      <c r="N50" s="9"/>
      <c r="O50" s="9" t="s">
        <v>57</v>
      </c>
      <c r="P50" s="16">
        <v>10319</v>
      </c>
      <c r="Q50" s="10" t="s">
        <v>16</v>
      </c>
      <c r="R50" s="11">
        <v>45549</v>
      </c>
      <c r="S50" s="11">
        <v>45594</v>
      </c>
      <c r="T50" s="11">
        <v>45584</v>
      </c>
      <c r="U50" s="25" t="s">
        <v>339</v>
      </c>
      <c r="V50" s="9" t="s">
        <v>285</v>
      </c>
      <c r="W50" s="9" t="s">
        <v>183</v>
      </c>
    </row>
    <row r="51" spans="1:23" s="1" customFormat="1" ht="20.2" customHeight="1" x14ac:dyDescent="0.3">
      <c r="A51" s="9">
        <v>50</v>
      </c>
      <c r="B51" s="9">
        <v>1610613</v>
      </c>
      <c r="C51" s="9">
        <v>1253646</v>
      </c>
      <c r="D51" s="9" t="s">
        <v>106</v>
      </c>
      <c r="E51" s="9" t="s">
        <v>354</v>
      </c>
      <c r="F51" s="9" t="s">
        <v>107</v>
      </c>
      <c r="G51" s="9"/>
      <c r="H51" s="9" t="s">
        <v>8</v>
      </c>
      <c r="I51" s="9" t="s">
        <v>143</v>
      </c>
      <c r="J51" s="9" t="s">
        <v>155</v>
      </c>
      <c r="K51" s="9" t="s">
        <v>148</v>
      </c>
      <c r="L51" s="9">
        <v>120</v>
      </c>
      <c r="M51" s="9" t="s">
        <v>162</v>
      </c>
      <c r="N51" s="9"/>
      <c r="O51" s="9" t="s">
        <v>108</v>
      </c>
      <c r="P51" s="16">
        <v>12999</v>
      </c>
      <c r="Q51" s="10" t="s">
        <v>109</v>
      </c>
      <c r="R51" s="11">
        <v>45549</v>
      </c>
      <c r="S51" s="11">
        <v>45616</v>
      </c>
      <c r="T51" s="11">
        <v>45582</v>
      </c>
      <c r="U51" s="25" t="s">
        <v>339</v>
      </c>
      <c r="V51" s="9" t="s">
        <v>283</v>
      </c>
      <c r="W51" s="9" t="s">
        <v>183</v>
      </c>
    </row>
    <row r="52" spans="1:23" s="1" customFormat="1" ht="20.2" customHeight="1" x14ac:dyDescent="0.3">
      <c r="A52" s="9">
        <v>51</v>
      </c>
      <c r="B52" s="9">
        <v>1608468</v>
      </c>
      <c r="C52" s="9">
        <v>1253172</v>
      </c>
      <c r="D52" s="9" t="s">
        <v>110</v>
      </c>
      <c r="E52" s="9" t="s">
        <v>351</v>
      </c>
      <c r="F52" s="9" t="s">
        <v>111</v>
      </c>
      <c r="G52" s="9"/>
      <c r="H52" s="9" t="s">
        <v>8</v>
      </c>
      <c r="I52" s="9" t="s">
        <v>156</v>
      </c>
      <c r="J52" s="9" t="s">
        <v>154</v>
      </c>
      <c r="K52" s="9"/>
      <c r="L52" s="9"/>
      <c r="M52" s="9" t="s">
        <v>158</v>
      </c>
      <c r="N52" s="9" t="s">
        <v>162</v>
      </c>
      <c r="O52" s="9" t="s">
        <v>97</v>
      </c>
      <c r="P52" s="16">
        <v>21999</v>
      </c>
      <c r="Q52" s="10" t="s">
        <v>16</v>
      </c>
      <c r="R52" s="11">
        <v>45549</v>
      </c>
      <c r="S52" s="11">
        <v>45616</v>
      </c>
      <c r="T52" s="11"/>
      <c r="U52" s="25" t="s">
        <v>338</v>
      </c>
      <c r="V52" s="9"/>
      <c r="W52" s="9" t="s">
        <v>207</v>
      </c>
    </row>
    <row r="53" spans="1:23" s="1" customFormat="1" ht="20.2" customHeight="1" x14ac:dyDescent="0.3">
      <c r="A53" s="9">
        <v>52</v>
      </c>
      <c r="B53" s="9">
        <v>1654554</v>
      </c>
      <c r="C53" s="9">
        <v>1264469</v>
      </c>
      <c r="D53" s="9" t="s">
        <v>120</v>
      </c>
      <c r="E53" s="9" t="s">
        <v>352</v>
      </c>
      <c r="F53" s="9" t="s">
        <v>82</v>
      </c>
      <c r="G53" s="9"/>
      <c r="H53" s="9" t="s">
        <v>8</v>
      </c>
      <c r="I53" s="9" t="s">
        <v>143</v>
      </c>
      <c r="J53" s="9" t="s">
        <v>155</v>
      </c>
      <c r="K53" s="9" t="s">
        <v>145</v>
      </c>
      <c r="L53" s="9">
        <v>100</v>
      </c>
      <c r="M53" s="9" t="s">
        <v>162</v>
      </c>
      <c r="N53" s="9"/>
      <c r="O53" s="9" t="s">
        <v>121</v>
      </c>
      <c r="P53" s="16">
        <v>12399</v>
      </c>
      <c r="Q53" s="10" t="s">
        <v>16</v>
      </c>
      <c r="R53" s="11">
        <v>45549</v>
      </c>
      <c r="S53" s="11">
        <v>45616</v>
      </c>
      <c r="T53" s="11">
        <v>45566</v>
      </c>
      <c r="U53" s="25" t="s">
        <v>339</v>
      </c>
      <c r="V53" s="9" t="s">
        <v>283</v>
      </c>
      <c r="W53" s="9" t="s">
        <v>183</v>
      </c>
    </row>
    <row r="54" spans="1:23" s="1" customFormat="1" ht="20.2" customHeight="1" x14ac:dyDescent="0.3">
      <c r="A54" s="9">
        <v>53</v>
      </c>
      <c r="B54" s="9">
        <v>1644504</v>
      </c>
      <c r="C54" s="9">
        <v>1261644</v>
      </c>
      <c r="D54" s="9" t="s">
        <v>127</v>
      </c>
      <c r="E54" s="9" t="s">
        <v>352</v>
      </c>
      <c r="F54" s="9" t="s">
        <v>61</v>
      </c>
      <c r="G54" s="9"/>
      <c r="H54" s="9" t="s">
        <v>8</v>
      </c>
      <c r="I54" s="9" t="s">
        <v>156</v>
      </c>
      <c r="J54" s="9" t="s">
        <v>154</v>
      </c>
      <c r="K54" s="9"/>
      <c r="L54" s="9"/>
      <c r="M54" s="9" t="s">
        <v>158</v>
      </c>
      <c r="N54" s="9" t="s">
        <v>162</v>
      </c>
      <c r="O54" s="9" t="s">
        <v>97</v>
      </c>
      <c r="P54" s="16">
        <v>21999</v>
      </c>
      <c r="Q54" s="10" t="s">
        <v>16</v>
      </c>
      <c r="R54" s="11">
        <v>45549</v>
      </c>
      <c r="S54" s="11">
        <v>45616</v>
      </c>
      <c r="T54" s="11">
        <v>45574</v>
      </c>
      <c r="U54" s="25" t="s">
        <v>339</v>
      </c>
      <c r="V54" s="9" t="s">
        <v>285</v>
      </c>
      <c r="W54" s="9" t="s">
        <v>183</v>
      </c>
    </row>
    <row r="55" spans="1:23" s="1" customFormat="1" ht="20.2" customHeight="1" x14ac:dyDescent="0.3">
      <c r="A55" s="9">
        <v>54</v>
      </c>
      <c r="B55" s="9">
        <v>1655447</v>
      </c>
      <c r="C55" s="9">
        <v>1264684</v>
      </c>
      <c r="D55" s="9" t="s">
        <v>130</v>
      </c>
      <c r="E55" s="9" t="s">
        <v>352</v>
      </c>
      <c r="F55" s="9" t="s">
        <v>56</v>
      </c>
      <c r="G55" s="9"/>
      <c r="H55" s="9" t="s">
        <v>8</v>
      </c>
      <c r="I55" s="9" t="s">
        <v>143</v>
      </c>
      <c r="J55" s="9" t="s">
        <v>155</v>
      </c>
      <c r="K55" s="9" t="s">
        <v>145</v>
      </c>
      <c r="L55" s="9">
        <v>80</v>
      </c>
      <c r="M55" s="9" t="s">
        <v>157</v>
      </c>
      <c r="N55" s="9"/>
      <c r="O55" s="9" t="s">
        <v>131</v>
      </c>
      <c r="P55" s="16">
        <v>10999</v>
      </c>
      <c r="Q55" s="10" t="s">
        <v>109</v>
      </c>
      <c r="R55" s="11">
        <v>45549</v>
      </c>
      <c r="S55" s="11">
        <v>45616</v>
      </c>
      <c r="T55" s="11">
        <v>45581</v>
      </c>
      <c r="U55" s="25" t="s">
        <v>339</v>
      </c>
      <c r="V55" s="9" t="s">
        <v>285</v>
      </c>
      <c r="W55" s="9" t="s">
        <v>183</v>
      </c>
    </row>
    <row r="56" spans="1:23" s="1" customFormat="1" ht="20.2" customHeight="1" x14ac:dyDescent="0.3">
      <c r="A56" s="9">
        <v>55</v>
      </c>
      <c r="B56" s="9">
        <v>1679731</v>
      </c>
      <c r="C56" s="9">
        <v>1271291</v>
      </c>
      <c r="D56" s="9" t="s">
        <v>173</v>
      </c>
      <c r="E56" s="9" t="s">
        <v>352</v>
      </c>
      <c r="F56" s="9" t="s">
        <v>174</v>
      </c>
      <c r="G56" s="9"/>
      <c r="H56" s="9" t="s">
        <v>8</v>
      </c>
      <c r="I56" s="9" t="s">
        <v>143</v>
      </c>
      <c r="J56" s="9" t="s">
        <v>155</v>
      </c>
      <c r="K56" s="9" t="s">
        <v>148</v>
      </c>
      <c r="L56" s="9">
        <v>80</v>
      </c>
      <c r="M56" s="9" t="s">
        <v>157</v>
      </c>
      <c r="N56" s="9"/>
      <c r="O56" s="9"/>
      <c r="P56" s="16">
        <v>10999</v>
      </c>
      <c r="Q56" s="10" t="s">
        <v>109</v>
      </c>
      <c r="R56" s="13">
        <v>45550</v>
      </c>
      <c r="S56" s="11">
        <v>45616</v>
      </c>
      <c r="T56" s="11">
        <v>45581</v>
      </c>
      <c r="U56" s="25" t="s">
        <v>339</v>
      </c>
      <c r="V56" s="9" t="s">
        <v>285</v>
      </c>
      <c r="W56" s="9" t="s">
        <v>183</v>
      </c>
    </row>
    <row r="57" spans="1:23" s="1" customFormat="1" ht="20.2" customHeight="1" x14ac:dyDescent="0.3">
      <c r="A57" s="9">
        <v>56</v>
      </c>
      <c r="B57" s="9">
        <v>1670668</v>
      </c>
      <c r="C57" s="9">
        <v>1268695</v>
      </c>
      <c r="D57" s="9" t="s">
        <v>175</v>
      </c>
      <c r="E57" s="9" t="s">
        <v>352</v>
      </c>
      <c r="F57" s="9" t="s">
        <v>176</v>
      </c>
      <c r="G57" s="9"/>
      <c r="H57" s="9" t="s">
        <v>8</v>
      </c>
      <c r="I57" s="9" t="s">
        <v>156</v>
      </c>
      <c r="J57" s="9" t="s">
        <v>154</v>
      </c>
      <c r="K57" s="9"/>
      <c r="L57" s="9"/>
      <c r="M57" s="9" t="s">
        <v>158</v>
      </c>
      <c r="N57" s="9" t="s">
        <v>162</v>
      </c>
      <c r="O57" s="9"/>
      <c r="P57" s="16">
        <v>21999</v>
      </c>
      <c r="Q57" s="10" t="s">
        <v>109</v>
      </c>
      <c r="R57" s="13">
        <v>45550</v>
      </c>
      <c r="S57" s="11">
        <v>45616</v>
      </c>
      <c r="T57" s="11">
        <v>45584</v>
      </c>
      <c r="U57" s="25" t="s">
        <v>339</v>
      </c>
      <c r="V57" s="9" t="s">
        <v>285</v>
      </c>
      <c r="W57" s="9" t="s">
        <v>183</v>
      </c>
    </row>
    <row r="58" spans="1:23" s="1" customFormat="1" ht="20.2" customHeight="1" x14ac:dyDescent="0.3">
      <c r="A58" s="9">
        <v>57</v>
      </c>
      <c r="B58" s="9">
        <v>1416625</v>
      </c>
      <c r="C58" s="9">
        <v>1205197</v>
      </c>
      <c r="D58" s="9" t="s">
        <v>182</v>
      </c>
      <c r="E58" s="9" t="s">
        <v>192</v>
      </c>
      <c r="F58" s="9" t="s">
        <v>138</v>
      </c>
      <c r="G58" s="9"/>
      <c r="H58" s="9" t="s">
        <v>8</v>
      </c>
      <c r="I58" s="9" t="s">
        <v>254</v>
      </c>
      <c r="J58" s="9" t="s">
        <v>177</v>
      </c>
      <c r="K58" s="9"/>
      <c r="L58" s="9"/>
      <c r="M58" s="9"/>
      <c r="N58" s="9"/>
      <c r="O58" s="9"/>
      <c r="P58" s="16">
        <v>7849</v>
      </c>
      <c r="Q58" s="10">
        <v>6306</v>
      </c>
      <c r="R58" s="13">
        <v>45551</v>
      </c>
      <c r="S58" s="11">
        <v>45595</v>
      </c>
      <c r="T58" s="11">
        <v>45610</v>
      </c>
      <c r="U58" s="25" t="s">
        <v>340</v>
      </c>
      <c r="V58" s="9" t="s">
        <v>283</v>
      </c>
      <c r="W58" s="9" t="s">
        <v>183</v>
      </c>
    </row>
    <row r="59" spans="1:23" s="1" customFormat="1" ht="20.2" customHeight="1" x14ac:dyDescent="0.3">
      <c r="A59" s="9">
        <v>58</v>
      </c>
      <c r="B59" s="9" t="s">
        <v>319</v>
      </c>
      <c r="C59" s="9"/>
      <c r="D59" s="9" t="s">
        <v>77</v>
      </c>
      <c r="E59" s="9" t="s">
        <v>353</v>
      </c>
      <c r="F59" s="9" t="s">
        <v>184</v>
      </c>
      <c r="G59" s="9"/>
      <c r="H59" s="9" t="s">
        <v>331</v>
      </c>
      <c r="I59" s="9" t="s">
        <v>143</v>
      </c>
      <c r="J59" s="9" t="s">
        <v>155</v>
      </c>
      <c r="K59" s="9" t="s">
        <v>148</v>
      </c>
      <c r="L59" s="9">
        <v>80</v>
      </c>
      <c r="M59" s="9" t="s">
        <v>157</v>
      </c>
      <c r="N59" s="9"/>
      <c r="O59" s="9"/>
      <c r="P59" s="16">
        <v>5074</v>
      </c>
      <c r="Q59" s="10" t="s">
        <v>79</v>
      </c>
      <c r="R59" s="11">
        <v>45556</v>
      </c>
      <c r="S59" s="11">
        <v>45570</v>
      </c>
      <c r="T59" s="11">
        <v>45577</v>
      </c>
      <c r="U59" s="25" t="s">
        <v>340</v>
      </c>
      <c r="V59" s="9" t="s">
        <v>285</v>
      </c>
      <c r="W59" s="9" t="s">
        <v>183</v>
      </c>
    </row>
    <row r="60" spans="1:23" s="1" customFormat="1" ht="20.2" customHeight="1" x14ac:dyDescent="0.3">
      <c r="A60" s="9">
        <v>59</v>
      </c>
      <c r="B60" s="9" t="s">
        <v>290</v>
      </c>
      <c r="C60" s="9">
        <v>2514</v>
      </c>
      <c r="D60" s="9" t="s">
        <v>36</v>
      </c>
      <c r="E60" s="9" t="s">
        <v>352</v>
      </c>
      <c r="F60" s="9" t="s">
        <v>37</v>
      </c>
      <c r="G60" s="9"/>
      <c r="H60" s="9" t="s">
        <v>38</v>
      </c>
      <c r="I60" s="9" t="s">
        <v>143</v>
      </c>
      <c r="J60" s="9" t="s">
        <v>155</v>
      </c>
      <c r="K60" s="9" t="s">
        <v>147</v>
      </c>
      <c r="L60" s="9">
        <v>100</v>
      </c>
      <c r="M60" s="9" t="s">
        <v>185</v>
      </c>
      <c r="N60" s="9"/>
      <c r="O60" s="9"/>
      <c r="P60" s="16">
        <v>6250</v>
      </c>
      <c r="Q60" s="10" t="s">
        <v>79</v>
      </c>
      <c r="R60" s="11">
        <v>45558</v>
      </c>
      <c r="S60" s="11">
        <v>45573</v>
      </c>
      <c r="T60" s="11">
        <v>45582</v>
      </c>
      <c r="U60" s="25" t="s">
        <v>340</v>
      </c>
      <c r="V60" s="9" t="s">
        <v>285</v>
      </c>
      <c r="W60" s="9" t="s">
        <v>183</v>
      </c>
    </row>
    <row r="61" spans="1:23" s="1" customFormat="1" ht="20.2" customHeight="1" x14ac:dyDescent="0.3">
      <c r="A61" s="9">
        <v>60</v>
      </c>
      <c r="B61" s="9" t="s">
        <v>289</v>
      </c>
      <c r="C61" s="9">
        <v>1281428</v>
      </c>
      <c r="D61" s="9" t="s">
        <v>186</v>
      </c>
      <c r="E61" s="9" t="s">
        <v>352</v>
      </c>
      <c r="F61" s="9" t="s">
        <v>37</v>
      </c>
      <c r="G61" s="9"/>
      <c r="H61" s="9" t="s">
        <v>8</v>
      </c>
      <c r="I61" s="9" t="s">
        <v>143</v>
      </c>
      <c r="J61" s="9" t="s">
        <v>146</v>
      </c>
      <c r="K61" s="9" t="s">
        <v>167</v>
      </c>
      <c r="L61" s="9">
        <v>120</v>
      </c>
      <c r="M61" s="9" t="s">
        <v>157</v>
      </c>
      <c r="N61" s="9"/>
      <c r="O61" s="9"/>
      <c r="P61" s="16">
        <v>8943</v>
      </c>
      <c r="Q61" s="10">
        <v>9033</v>
      </c>
      <c r="R61" s="11">
        <v>45561</v>
      </c>
      <c r="S61" s="11">
        <v>45606</v>
      </c>
      <c r="T61" s="11">
        <v>45575</v>
      </c>
      <c r="U61" s="25" t="s">
        <v>339</v>
      </c>
      <c r="V61" s="9" t="s">
        <v>285</v>
      </c>
      <c r="W61" s="9" t="s">
        <v>183</v>
      </c>
    </row>
    <row r="62" spans="1:23" s="1" customFormat="1" ht="20.2" customHeight="1" x14ac:dyDescent="0.3">
      <c r="A62" s="9">
        <v>61</v>
      </c>
      <c r="B62" s="9">
        <v>1704621</v>
      </c>
      <c r="C62" s="9">
        <v>1280197</v>
      </c>
      <c r="D62" s="9" t="s">
        <v>187</v>
      </c>
      <c r="E62" s="9" t="s">
        <v>349</v>
      </c>
      <c r="F62" s="9" t="s">
        <v>188</v>
      </c>
      <c r="G62" s="9"/>
      <c r="H62" s="9" t="s">
        <v>8</v>
      </c>
      <c r="I62" s="9" t="s">
        <v>254</v>
      </c>
      <c r="J62" s="9" t="s">
        <v>179</v>
      </c>
      <c r="K62" s="9"/>
      <c r="L62" s="9"/>
      <c r="M62" s="9"/>
      <c r="N62" s="9"/>
      <c r="O62" s="9"/>
      <c r="P62" s="16">
        <v>8349</v>
      </c>
      <c r="Q62" s="10">
        <v>8433</v>
      </c>
      <c r="R62" s="11">
        <v>45561</v>
      </c>
      <c r="S62" s="11">
        <v>45606</v>
      </c>
      <c r="T62" s="9"/>
      <c r="U62" s="25" t="s">
        <v>338</v>
      </c>
      <c r="V62" s="9"/>
      <c r="W62" s="9" t="s">
        <v>207</v>
      </c>
    </row>
    <row r="63" spans="1:23" s="1" customFormat="1" ht="20.2" customHeight="1" x14ac:dyDescent="0.3">
      <c r="A63" s="9">
        <v>62</v>
      </c>
      <c r="B63" s="9">
        <v>240078066</v>
      </c>
      <c r="C63" s="9"/>
      <c r="D63" s="9" t="s">
        <v>28</v>
      </c>
      <c r="E63" s="9" t="s">
        <v>352</v>
      </c>
      <c r="F63" s="9" t="s">
        <v>202</v>
      </c>
      <c r="G63" s="9"/>
      <c r="H63" s="9" t="s">
        <v>47</v>
      </c>
      <c r="I63" s="9" t="s">
        <v>156</v>
      </c>
      <c r="J63" s="9" t="s">
        <v>154</v>
      </c>
      <c r="K63" s="9"/>
      <c r="L63" s="9"/>
      <c r="M63" s="9"/>
      <c r="N63" s="9" t="s">
        <v>196</v>
      </c>
      <c r="O63" s="9"/>
      <c r="P63" s="16">
        <v>14950</v>
      </c>
      <c r="Q63" s="10" t="s">
        <v>16</v>
      </c>
      <c r="R63" s="11">
        <v>45561</v>
      </c>
      <c r="S63" s="11">
        <v>45579</v>
      </c>
      <c r="T63" s="11">
        <v>45578</v>
      </c>
      <c r="U63" s="25" t="s">
        <v>339</v>
      </c>
      <c r="V63" s="9" t="s">
        <v>285</v>
      </c>
      <c r="W63" s="9" t="s">
        <v>183</v>
      </c>
    </row>
    <row r="64" spans="1:23" s="1" customFormat="1" ht="20.2" customHeight="1" x14ac:dyDescent="0.3">
      <c r="A64" s="9">
        <v>63</v>
      </c>
      <c r="B64" s="9">
        <v>240077789</v>
      </c>
      <c r="C64" s="9"/>
      <c r="D64" s="9" t="s">
        <v>28</v>
      </c>
      <c r="E64" s="9"/>
      <c r="F64" s="9"/>
      <c r="G64" s="9"/>
      <c r="H64" s="9" t="s">
        <v>47</v>
      </c>
      <c r="I64" s="9" t="s">
        <v>143</v>
      </c>
      <c r="J64" s="9" t="s">
        <v>155</v>
      </c>
      <c r="K64" s="9" t="s">
        <v>147</v>
      </c>
      <c r="L64" s="9">
        <v>100</v>
      </c>
      <c r="M64" s="9" t="s">
        <v>158</v>
      </c>
      <c r="N64" s="9"/>
      <c r="O64" s="9"/>
      <c r="P64" s="16">
        <v>9208</v>
      </c>
      <c r="Q64" s="10">
        <v>9608</v>
      </c>
      <c r="R64" s="11">
        <v>45561</v>
      </c>
      <c r="S64" s="11">
        <v>45579</v>
      </c>
      <c r="T64" s="9"/>
      <c r="U64" s="25" t="s">
        <v>338</v>
      </c>
      <c r="V64" s="9"/>
      <c r="W64" s="9" t="s">
        <v>207</v>
      </c>
    </row>
    <row r="65" spans="1:23" s="1" customFormat="1" ht="20.2" customHeight="1" x14ac:dyDescent="0.3">
      <c r="A65" s="9">
        <v>64</v>
      </c>
      <c r="B65" s="9">
        <v>240078390</v>
      </c>
      <c r="C65" s="9"/>
      <c r="D65" s="9" t="s">
        <v>28</v>
      </c>
      <c r="E65" s="9"/>
      <c r="F65" s="9"/>
      <c r="G65" s="9"/>
      <c r="H65" s="9" t="s">
        <v>47</v>
      </c>
      <c r="I65" s="9" t="s">
        <v>143</v>
      </c>
      <c r="J65" s="9" t="s">
        <v>146</v>
      </c>
      <c r="K65" s="9" t="s">
        <v>149</v>
      </c>
      <c r="L65" s="9">
        <v>120</v>
      </c>
      <c r="M65" s="9" t="s">
        <v>157</v>
      </c>
      <c r="N65" s="9"/>
      <c r="O65" s="9"/>
      <c r="P65" s="16">
        <v>7433</v>
      </c>
      <c r="Q65" s="10" t="s">
        <v>16</v>
      </c>
      <c r="R65" s="11">
        <v>45564</v>
      </c>
      <c r="S65" s="11">
        <v>45585</v>
      </c>
      <c r="T65" s="11">
        <v>45586</v>
      </c>
      <c r="U65" s="25" t="s">
        <v>340</v>
      </c>
      <c r="V65" s="9" t="s">
        <v>285</v>
      </c>
      <c r="W65" s="9" t="s">
        <v>183</v>
      </c>
    </row>
    <row r="66" spans="1:23" s="1" customFormat="1" ht="20.2" customHeight="1" x14ac:dyDescent="0.3">
      <c r="A66" s="9">
        <v>65</v>
      </c>
      <c r="B66" s="9" t="s">
        <v>320</v>
      </c>
      <c r="C66" s="9"/>
      <c r="D66" s="9" t="s">
        <v>77</v>
      </c>
      <c r="E66" s="9" t="s">
        <v>353</v>
      </c>
      <c r="F66" s="9" t="s">
        <v>184</v>
      </c>
      <c r="G66" s="9"/>
      <c r="H66" s="9" t="s">
        <v>331</v>
      </c>
      <c r="I66" s="9" t="s">
        <v>143</v>
      </c>
      <c r="J66" s="9" t="s">
        <v>146</v>
      </c>
      <c r="K66" s="9" t="s">
        <v>167</v>
      </c>
      <c r="L66" s="9">
        <v>120</v>
      </c>
      <c r="M66" s="9" t="s">
        <v>157</v>
      </c>
      <c r="N66" s="9"/>
      <c r="O66" s="9"/>
      <c r="P66" s="16">
        <v>4020</v>
      </c>
      <c r="Q66" s="10" t="s">
        <v>79</v>
      </c>
      <c r="R66" s="11">
        <v>45564</v>
      </c>
      <c r="S66" s="11">
        <v>45577</v>
      </c>
      <c r="T66" s="11">
        <v>45577</v>
      </c>
      <c r="U66" s="25" t="s">
        <v>338</v>
      </c>
      <c r="V66" s="9" t="s">
        <v>285</v>
      </c>
      <c r="W66" s="9" t="s">
        <v>183</v>
      </c>
    </row>
    <row r="67" spans="1:23" s="1" customFormat="1" ht="20.2" customHeight="1" x14ac:dyDescent="0.3">
      <c r="A67" s="9">
        <v>66</v>
      </c>
      <c r="B67" s="9" t="s">
        <v>312</v>
      </c>
      <c r="C67" s="9"/>
      <c r="D67" s="9" t="s">
        <v>190</v>
      </c>
      <c r="E67" s="9" t="s">
        <v>192</v>
      </c>
      <c r="F67" s="9" t="s">
        <v>191</v>
      </c>
      <c r="G67" s="9"/>
      <c r="H67" s="9" t="s">
        <v>192</v>
      </c>
      <c r="I67" s="9" t="s">
        <v>143</v>
      </c>
      <c r="J67" s="9" t="s">
        <v>155</v>
      </c>
      <c r="K67" s="9" t="s">
        <v>215</v>
      </c>
      <c r="L67" s="9">
        <v>100</v>
      </c>
      <c r="M67" s="9" t="s">
        <v>216</v>
      </c>
      <c r="N67" s="9"/>
      <c r="O67" s="9"/>
      <c r="P67" s="16">
        <v>8544.9054400000005</v>
      </c>
      <c r="Q67" s="10"/>
      <c r="R67" s="11">
        <v>45566</v>
      </c>
      <c r="S67" s="11">
        <v>45574</v>
      </c>
      <c r="T67" s="11">
        <v>45574</v>
      </c>
      <c r="U67" s="25" t="s">
        <v>338</v>
      </c>
      <c r="V67" s="9" t="s">
        <v>286</v>
      </c>
      <c r="W67" s="9" t="s">
        <v>183</v>
      </c>
    </row>
    <row r="68" spans="1:23" s="1" customFormat="1" ht="20.2" customHeight="1" x14ac:dyDescent="0.3">
      <c r="A68" s="9">
        <v>67</v>
      </c>
      <c r="B68" s="9" t="s">
        <v>313</v>
      </c>
      <c r="C68" s="9"/>
      <c r="D68" s="9" t="s">
        <v>190</v>
      </c>
      <c r="E68" s="9" t="s">
        <v>192</v>
      </c>
      <c r="F68" s="9" t="s">
        <v>191</v>
      </c>
      <c r="G68" s="9"/>
      <c r="H68" s="9" t="s">
        <v>192</v>
      </c>
      <c r="I68" s="9" t="s">
        <v>143</v>
      </c>
      <c r="J68" s="9" t="s">
        <v>144</v>
      </c>
      <c r="K68" s="9"/>
      <c r="L68" s="9"/>
      <c r="M68" s="9" t="s">
        <v>158</v>
      </c>
      <c r="N68" s="9" t="s">
        <v>194</v>
      </c>
      <c r="O68" s="9"/>
      <c r="P68" s="16">
        <v>4600</v>
      </c>
      <c r="Q68" s="10"/>
      <c r="R68" s="11">
        <v>45566</v>
      </c>
      <c r="S68" s="11">
        <v>45574</v>
      </c>
      <c r="T68" s="11">
        <v>45574</v>
      </c>
      <c r="U68" s="25" t="s">
        <v>338</v>
      </c>
      <c r="V68" s="9" t="s">
        <v>286</v>
      </c>
      <c r="W68" s="9" t="s">
        <v>183</v>
      </c>
    </row>
    <row r="69" spans="1:23" s="1" customFormat="1" ht="20.2" customHeight="1" x14ac:dyDescent="0.3">
      <c r="A69" s="9">
        <v>68</v>
      </c>
      <c r="B69" s="9" t="s">
        <v>314</v>
      </c>
      <c r="C69" s="9"/>
      <c r="D69" s="9" t="s">
        <v>190</v>
      </c>
      <c r="E69" s="9" t="s">
        <v>192</v>
      </c>
      <c r="F69" s="9" t="s">
        <v>191</v>
      </c>
      <c r="G69" s="9"/>
      <c r="H69" s="9" t="s">
        <v>192</v>
      </c>
      <c r="I69" s="9" t="s">
        <v>156</v>
      </c>
      <c r="J69" s="9" t="s">
        <v>281</v>
      </c>
      <c r="K69" s="9"/>
      <c r="L69" s="9"/>
      <c r="M69" s="9" t="s">
        <v>158</v>
      </c>
      <c r="N69" s="9" t="s">
        <v>193</v>
      </c>
      <c r="O69" s="9"/>
      <c r="P69" s="16">
        <v>10000</v>
      </c>
      <c r="Q69" s="10"/>
      <c r="R69" s="11">
        <v>45566</v>
      </c>
      <c r="S69" s="11">
        <v>45574</v>
      </c>
      <c r="T69" s="11">
        <v>45574</v>
      </c>
      <c r="U69" s="25" t="s">
        <v>338</v>
      </c>
      <c r="V69" s="9" t="s">
        <v>286</v>
      </c>
      <c r="W69" s="9" t="s">
        <v>183</v>
      </c>
    </row>
    <row r="70" spans="1:23" s="1" customFormat="1" ht="20.2" customHeight="1" x14ac:dyDescent="0.3">
      <c r="A70" s="9">
        <v>69</v>
      </c>
      <c r="B70" s="9" t="s">
        <v>315</v>
      </c>
      <c r="C70" s="9"/>
      <c r="D70" s="9" t="s">
        <v>190</v>
      </c>
      <c r="E70" s="9" t="s">
        <v>192</v>
      </c>
      <c r="F70" s="9" t="s">
        <v>191</v>
      </c>
      <c r="G70" s="9"/>
      <c r="H70" s="9" t="s">
        <v>192</v>
      </c>
      <c r="I70" s="9" t="s">
        <v>195</v>
      </c>
      <c r="J70" s="9"/>
      <c r="K70" s="9"/>
      <c r="L70" s="9"/>
      <c r="M70" s="9" t="s">
        <v>158</v>
      </c>
      <c r="N70" s="9" t="s">
        <v>196</v>
      </c>
      <c r="O70" s="9"/>
      <c r="P70" s="16"/>
      <c r="Q70" s="10"/>
      <c r="R70" s="11">
        <v>45566</v>
      </c>
      <c r="S70" s="11">
        <v>45574</v>
      </c>
      <c r="T70" s="11">
        <v>45574</v>
      </c>
      <c r="U70" s="25" t="s">
        <v>338</v>
      </c>
      <c r="V70" s="9" t="s">
        <v>286</v>
      </c>
      <c r="W70" s="9" t="s">
        <v>183</v>
      </c>
    </row>
    <row r="71" spans="1:23" s="1" customFormat="1" ht="20.2" customHeight="1" x14ac:dyDescent="0.3">
      <c r="A71" s="9">
        <v>70</v>
      </c>
      <c r="B71" s="9">
        <v>1282228</v>
      </c>
      <c r="C71" s="9">
        <v>1708226</v>
      </c>
      <c r="D71" s="9" t="s">
        <v>197</v>
      </c>
      <c r="E71" s="9" t="s">
        <v>349</v>
      </c>
      <c r="F71" s="9" t="s">
        <v>198</v>
      </c>
      <c r="G71" s="9"/>
      <c r="H71" s="9" t="s">
        <v>8</v>
      </c>
      <c r="I71" s="9" t="s">
        <v>143</v>
      </c>
      <c r="J71" s="9" t="s">
        <v>144</v>
      </c>
      <c r="K71" s="9"/>
      <c r="L71" s="9"/>
      <c r="M71" s="9" t="s">
        <v>158</v>
      </c>
      <c r="N71" s="9" t="s">
        <v>158</v>
      </c>
      <c r="O71" s="9"/>
      <c r="P71" s="16">
        <v>8899</v>
      </c>
      <c r="Q71" s="10">
        <v>8988</v>
      </c>
      <c r="R71" s="11">
        <v>45568</v>
      </c>
      <c r="S71" s="11">
        <v>45613</v>
      </c>
      <c r="T71" s="9"/>
      <c r="U71" s="25" t="s">
        <v>338</v>
      </c>
      <c r="V71" s="9"/>
      <c r="W71" s="9"/>
    </row>
    <row r="72" spans="1:23" s="1" customFormat="1" ht="20.2" customHeight="1" x14ac:dyDescent="0.3">
      <c r="A72" s="9">
        <v>71</v>
      </c>
      <c r="B72" s="9">
        <v>240079328</v>
      </c>
      <c r="C72" s="9"/>
      <c r="D72" s="9" t="s">
        <v>28</v>
      </c>
      <c r="E72" s="9"/>
      <c r="F72" s="9" t="s">
        <v>199</v>
      </c>
      <c r="G72" s="9"/>
      <c r="H72" s="9" t="s">
        <v>47</v>
      </c>
      <c r="I72" s="9" t="s">
        <v>156</v>
      </c>
      <c r="J72" s="9" t="s">
        <v>154</v>
      </c>
      <c r="K72" s="9"/>
      <c r="L72" s="9"/>
      <c r="M72" s="9" t="s">
        <v>158</v>
      </c>
      <c r="N72" s="9" t="s">
        <v>200</v>
      </c>
      <c r="O72" s="9"/>
      <c r="P72" s="16">
        <v>14550</v>
      </c>
      <c r="Q72" s="10" t="s">
        <v>16</v>
      </c>
      <c r="R72" s="11">
        <v>45573</v>
      </c>
      <c r="S72" s="11">
        <v>45594</v>
      </c>
      <c r="T72" s="11">
        <v>45595</v>
      </c>
      <c r="U72" s="25" t="s">
        <v>340</v>
      </c>
      <c r="V72" s="9" t="s">
        <v>285</v>
      </c>
      <c r="W72" s="9" t="s">
        <v>183</v>
      </c>
    </row>
    <row r="73" spans="1:23" s="1" customFormat="1" ht="20.2" customHeight="1" x14ac:dyDescent="0.3">
      <c r="A73" s="9">
        <v>72</v>
      </c>
      <c r="B73" s="9">
        <v>240078933</v>
      </c>
      <c r="C73" s="9"/>
      <c r="D73" s="9" t="s">
        <v>28</v>
      </c>
      <c r="E73" s="9" t="s">
        <v>349</v>
      </c>
      <c r="F73" s="9" t="s">
        <v>201</v>
      </c>
      <c r="G73" s="9"/>
      <c r="H73" s="9" t="s">
        <v>47</v>
      </c>
      <c r="I73" s="9" t="s">
        <v>156</v>
      </c>
      <c r="J73" s="9" t="s">
        <v>154</v>
      </c>
      <c r="K73" s="9"/>
      <c r="L73" s="9"/>
      <c r="M73" s="9" t="s">
        <v>158</v>
      </c>
      <c r="N73" s="9" t="s">
        <v>200</v>
      </c>
      <c r="O73" s="9"/>
      <c r="P73" s="16">
        <v>14550</v>
      </c>
      <c r="Q73" s="10" t="s">
        <v>16</v>
      </c>
      <c r="R73" s="11">
        <v>45572</v>
      </c>
      <c r="S73" s="11">
        <v>45594</v>
      </c>
      <c r="T73" s="11">
        <v>45580</v>
      </c>
      <c r="U73" s="25" t="s">
        <v>339</v>
      </c>
      <c r="V73" s="9" t="s">
        <v>285</v>
      </c>
      <c r="W73" s="9" t="s">
        <v>183</v>
      </c>
    </row>
    <row r="74" spans="1:23" s="1" customFormat="1" ht="20.2" customHeight="1" x14ac:dyDescent="0.3">
      <c r="A74" s="9">
        <v>73</v>
      </c>
      <c r="B74" s="9">
        <v>240079517</v>
      </c>
      <c r="C74" s="9"/>
      <c r="D74" s="9" t="s">
        <v>28</v>
      </c>
      <c r="E74" s="9"/>
      <c r="F74" s="9"/>
      <c r="G74" s="9"/>
      <c r="H74" s="9" t="s">
        <v>47</v>
      </c>
      <c r="I74" s="9" t="s">
        <v>156</v>
      </c>
      <c r="J74" s="9" t="s">
        <v>154</v>
      </c>
      <c r="K74" s="9"/>
      <c r="L74" s="9"/>
      <c r="M74" s="9" t="s">
        <v>158</v>
      </c>
      <c r="N74" s="9" t="s">
        <v>196</v>
      </c>
      <c r="O74" s="9"/>
      <c r="P74" s="16">
        <v>14550</v>
      </c>
      <c r="Q74" s="10">
        <v>11495</v>
      </c>
      <c r="R74" s="11">
        <v>45575</v>
      </c>
      <c r="S74" s="11">
        <v>45596</v>
      </c>
      <c r="T74" s="11">
        <v>45598</v>
      </c>
      <c r="U74" s="25" t="s">
        <v>340</v>
      </c>
      <c r="V74" s="9" t="s">
        <v>285</v>
      </c>
      <c r="W74" s="9" t="s">
        <v>183</v>
      </c>
    </row>
    <row r="75" spans="1:23" s="1" customFormat="1" ht="20.2" customHeight="1" x14ac:dyDescent="0.3">
      <c r="A75" s="9">
        <v>74</v>
      </c>
      <c r="B75" s="9">
        <v>1714623</v>
      </c>
      <c r="C75" s="9">
        <v>1284697</v>
      </c>
      <c r="D75" s="9" t="s">
        <v>203</v>
      </c>
      <c r="E75" s="9" t="s">
        <v>352</v>
      </c>
      <c r="F75" s="9" t="s">
        <v>96</v>
      </c>
      <c r="G75" s="9"/>
      <c r="H75" s="9" t="s">
        <v>8</v>
      </c>
      <c r="I75" s="9" t="s">
        <v>143</v>
      </c>
      <c r="J75" s="9" t="s">
        <v>155</v>
      </c>
      <c r="K75" s="9" t="s">
        <v>204</v>
      </c>
      <c r="L75" s="9" t="s">
        <v>282</v>
      </c>
      <c r="M75" s="9" t="s">
        <v>205</v>
      </c>
      <c r="N75" s="9"/>
      <c r="O75" s="9"/>
      <c r="P75" s="16">
        <v>12899</v>
      </c>
      <c r="Q75" s="10">
        <v>13028</v>
      </c>
      <c r="R75" s="11">
        <v>45578</v>
      </c>
      <c r="S75" s="11">
        <v>45643</v>
      </c>
      <c r="T75" s="11">
        <v>45598</v>
      </c>
      <c r="U75" s="25" t="s">
        <v>339</v>
      </c>
      <c r="V75" s="9" t="s">
        <v>285</v>
      </c>
      <c r="W75" s="9" t="s">
        <v>183</v>
      </c>
    </row>
    <row r="76" spans="1:23" s="1" customFormat="1" ht="20.2" customHeight="1" x14ac:dyDescent="0.3">
      <c r="A76" s="9">
        <v>75</v>
      </c>
      <c r="B76" s="9">
        <v>1715473</v>
      </c>
      <c r="C76" s="9">
        <v>1285152</v>
      </c>
      <c r="D76" s="9" t="s">
        <v>206</v>
      </c>
      <c r="E76" s="9" t="s">
        <v>352</v>
      </c>
      <c r="F76" s="9" t="s">
        <v>44</v>
      </c>
      <c r="G76" s="9"/>
      <c r="H76" s="9" t="s">
        <v>8</v>
      </c>
      <c r="I76" s="9" t="s">
        <v>143</v>
      </c>
      <c r="J76" s="9" t="s">
        <v>155</v>
      </c>
      <c r="K76" s="9" t="s">
        <v>148</v>
      </c>
      <c r="L76" s="9">
        <v>80</v>
      </c>
      <c r="M76" s="9" t="s">
        <v>157</v>
      </c>
      <c r="N76" s="9"/>
      <c r="O76" s="9"/>
      <c r="P76" s="16">
        <v>10499</v>
      </c>
      <c r="Q76" s="10" t="s">
        <v>16</v>
      </c>
      <c r="R76" s="11">
        <v>45581</v>
      </c>
      <c r="S76" s="11">
        <v>45645</v>
      </c>
      <c r="T76" s="11">
        <v>45586</v>
      </c>
      <c r="U76" s="25" t="s">
        <v>339</v>
      </c>
      <c r="V76" s="9" t="s">
        <v>285</v>
      </c>
      <c r="W76" s="9" t="s">
        <v>183</v>
      </c>
    </row>
    <row r="77" spans="1:23" s="1" customFormat="1" ht="20.2" customHeight="1" x14ac:dyDescent="0.3">
      <c r="A77" s="9">
        <v>76</v>
      </c>
      <c r="B77" s="9">
        <v>1715992</v>
      </c>
      <c r="C77" s="9">
        <v>1285423</v>
      </c>
      <c r="D77" s="9" t="s">
        <v>208</v>
      </c>
      <c r="E77" s="9" t="s">
        <v>350</v>
      </c>
      <c r="F77" s="9" t="s">
        <v>209</v>
      </c>
      <c r="G77" s="9"/>
      <c r="H77" s="9" t="s">
        <v>8</v>
      </c>
      <c r="I77" s="9" t="s">
        <v>143</v>
      </c>
      <c r="J77" s="9" t="s">
        <v>155</v>
      </c>
      <c r="K77" s="9" t="s">
        <v>145</v>
      </c>
      <c r="L77" s="9" t="s">
        <v>282</v>
      </c>
      <c r="M77" s="9" t="s">
        <v>205</v>
      </c>
      <c r="N77" s="9"/>
      <c r="O77" s="9"/>
      <c r="P77" s="16">
        <v>12899</v>
      </c>
      <c r="Q77" s="10" t="s">
        <v>16</v>
      </c>
      <c r="R77" s="11">
        <v>45582</v>
      </c>
      <c r="S77" s="11">
        <v>45648</v>
      </c>
      <c r="T77" s="11">
        <v>45629</v>
      </c>
      <c r="U77" s="25" t="s">
        <v>339</v>
      </c>
      <c r="V77" s="9" t="s">
        <v>283</v>
      </c>
      <c r="W77" s="9" t="s">
        <v>183</v>
      </c>
    </row>
    <row r="78" spans="1:23" s="1" customFormat="1" ht="20.2" customHeight="1" x14ac:dyDescent="0.3">
      <c r="A78" s="9">
        <v>77</v>
      </c>
      <c r="B78" s="9" t="s">
        <v>211</v>
      </c>
      <c r="C78" s="9"/>
      <c r="D78" s="9" t="s">
        <v>210</v>
      </c>
      <c r="E78" s="9" t="s">
        <v>352</v>
      </c>
      <c r="F78" s="9" t="s">
        <v>212</v>
      </c>
      <c r="G78" s="9">
        <v>1211691428</v>
      </c>
      <c r="H78" s="9" t="s">
        <v>228</v>
      </c>
      <c r="I78" s="9" t="s">
        <v>143</v>
      </c>
      <c r="J78" s="9" t="s">
        <v>146</v>
      </c>
      <c r="K78" s="9" t="s">
        <v>213</v>
      </c>
      <c r="L78" s="9">
        <v>140</v>
      </c>
      <c r="M78" s="9" t="s">
        <v>196</v>
      </c>
      <c r="N78" s="9" t="s">
        <v>214</v>
      </c>
      <c r="O78" s="9"/>
      <c r="P78" s="16">
        <v>5135</v>
      </c>
      <c r="Q78" s="10" t="s">
        <v>16</v>
      </c>
      <c r="R78" s="11">
        <v>45585</v>
      </c>
      <c r="S78" s="11">
        <v>45613</v>
      </c>
      <c r="T78" s="11">
        <v>45610</v>
      </c>
      <c r="U78" s="25" t="s">
        <v>339</v>
      </c>
      <c r="V78" s="9" t="s">
        <v>285</v>
      </c>
      <c r="W78" s="9" t="s">
        <v>183</v>
      </c>
    </row>
    <row r="79" spans="1:23" s="1" customFormat="1" ht="20.2" customHeight="1" x14ac:dyDescent="0.3">
      <c r="A79" s="9">
        <v>78</v>
      </c>
      <c r="B79" s="9">
        <v>240080607</v>
      </c>
      <c r="C79" s="9"/>
      <c r="D79" s="9" t="s">
        <v>28</v>
      </c>
      <c r="E79" s="9" t="s">
        <v>349</v>
      </c>
      <c r="F79" s="9" t="s">
        <v>188</v>
      </c>
      <c r="G79" s="9"/>
      <c r="H79" s="9" t="s">
        <v>47</v>
      </c>
      <c r="I79" s="9" t="s">
        <v>143</v>
      </c>
      <c r="J79" s="9" t="s">
        <v>155</v>
      </c>
      <c r="K79" s="9" t="s">
        <v>215</v>
      </c>
      <c r="L79" s="9">
        <v>100</v>
      </c>
      <c r="M79" s="9" t="s">
        <v>216</v>
      </c>
      <c r="N79" s="9"/>
      <c r="O79" s="9"/>
      <c r="P79" s="16">
        <v>12777.5</v>
      </c>
      <c r="Q79" s="10">
        <v>11277.5</v>
      </c>
      <c r="R79" s="11">
        <v>45587</v>
      </c>
      <c r="S79" s="11">
        <v>45608</v>
      </c>
      <c r="T79" s="11">
        <v>45614</v>
      </c>
      <c r="U79" s="25" t="s">
        <v>340</v>
      </c>
      <c r="V79" s="9" t="s">
        <v>285</v>
      </c>
      <c r="W79" s="9" t="s">
        <v>183</v>
      </c>
    </row>
    <row r="80" spans="1:23" s="1" customFormat="1" ht="20.2" customHeight="1" x14ac:dyDescent="0.3">
      <c r="A80" s="9">
        <v>79</v>
      </c>
      <c r="B80" s="9" t="s">
        <v>321</v>
      </c>
      <c r="C80" s="9"/>
      <c r="D80" s="9" t="s">
        <v>77</v>
      </c>
      <c r="E80" s="9" t="s">
        <v>352</v>
      </c>
      <c r="F80" s="9" t="s">
        <v>217</v>
      </c>
      <c r="G80" s="9"/>
      <c r="H80" s="9" t="s">
        <v>331</v>
      </c>
      <c r="I80" s="9" t="s">
        <v>143</v>
      </c>
      <c r="J80" s="9" t="s">
        <v>155</v>
      </c>
      <c r="K80" s="9" t="s">
        <v>215</v>
      </c>
      <c r="L80" s="9">
        <v>100</v>
      </c>
      <c r="M80" s="9" t="s">
        <v>216</v>
      </c>
      <c r="N80" s="9"/>
      <c r="O80" s="9"/>
      <c r="P80" s="16">
        <v>8544.91</v>
      </c>
      <c r="Q80" s="10" t="s">
        <v>79</v>
      </c>
      <c r="R80" s="11">
        <v>45587</v>
      </c>
      <c r="S80" s="9"/>
      <c r="T80" s="9"/>
      <c r="U80" s="25" t="s">
        <v>338</v>
      </c>
      <c r="V80" s="9"/>
      <c r="W80" s="9" t="s">
        <v>239</v>
      </c>
    </row>
    <row r="81" spans="1:23" s="1" customFormat="1" ht="20.2" customHeight="1" x14ac:dyDescent="0.3">
      <c r="A81" s="9">
        <v>80</v>
      </c>
      <c r="B81" s="9">
        <v>1717458</v>
      </c>
      <c r="C81" s="9">
        <v>1286189</v>
      </c>
      <c r="D81" s="9" t="s">
        <v>218</v>
      </c>
      <c r="E81" s="9" t="s">
        <v>349</v>
      </c>
      <c r="F81" s="9" t="s">
        <v>219</v>
      </c>
      <c r="G81" s="9"/>
      <c r="H81" s="9" t="s">
        <v>8</v>
      </c>
      <c r="I81" s="9" t="s">
        <v>143</v>
      </c>
      <c r="J81" s="9" t="s">
        <v>146</v>
      </c>
      <c r="K81" s="9" t="s">
        <v>167</v>
      </c>
      <c r="L81" s="9">
        <v>120</v>
      </c>
      <c r="M81" s="9" t="s">
        <v>157</v>
      </c>
      <c r="N81" s="9"/>
      <c r="O81" s="9"/>
      <c r="P81" s="16">
        <v>8943</v>
      </c>
      <c r="Q81" s="10">
        <v>9007.01</v>
      </c>
      <c r="R81" s="11">
        <v>45586</v>
      </c>
      <c r="S81" s="11">
        <v>45610</v>
      </c>
      <c r="T81" s="11">
        <v>45614</v>
      </c>
      <c r="U81" s="25" t="s">
        <v>340</v>
      </c>
      <c r="V81" s="9" t="s">
        <v>285</v>
      </c>
      <c r="W81" s="9" t="s">
        <v>183</v>
      </c>
    </row>
    <row r="82" spans="1:23" s="1" customFormat="1" ht="20.2" customHeight="1" x14ac:dyDescent="0.3">
      <c r="A82" s="9">
        <v>81</v>
      </c>
      <c r="B82" s="9">
        <v>240080858</v>
      </c>
      <c r="C82" s="9"/>
      <c r="D82" s="9" t="s">
        <v>28</v>
      </c>
      <c r="E82" s="9"/>
      <c r="F82" s="9"/>
      <c r="G82" s="9"/>
      <c r="H82" s="9" t="s">
        <v>47</v>
      </c>
      <c r="I82" s="9" t="s">
        <v>156</v>
      </c>
      <c r="J82" s="9" t="s">
        <v>154</v>
      </c>
      <c r="K82" s="9"/>
      <c r="L82" s="9"/>
      <c r="M82" s="9" t="s">
        <v>158</v>
      </c>
      <c r="N82" s="9"/>
      <c r="O82" s="9"/>
      <c r="P82" s="16">
        <v>15516</v>
      </c>
      <c r="Q82" s="10" t="s">
        <v>16</v>
      </c>
      <c r="R82" s="11">
        <v>45589</v>
      </c>
      <c r="S82" s="11">
        <v>45610</v>
      </c>
      <c r="T82" s="11">
        <v>45595</v>
      </c>
      <c r="U82" s="25" t="s">
        <v>339</v>
      </c>
      <c r="V82" s="9" t="s">
        <v>285</v>
      </c>
      <c r="W82" s="9" t="s">
        <v>183</v>
      </c>
    </row>
    <row r="83" spans="1:23" s="1" customFormat="1" ht="20.2" customHeight="1" x14ac:dyDescent="0.3">
      <c r="A83" s="9">
        <v>82</v>
      </c>
      <c r="B83" s="9">
        <v>240081061</v>
      </c>
      <c r="C83" s="9"/>
      <c r="D83" s="9" t="s">
        <v>28</v>
      </c>
      <c r="E83" s="9"/>
      <c r="F83" s="9"/>
      <c r="G83" s="9"/>
      <c r="H83" s="9" t="s">
        <v>47</v>
      </c>
      <c r="I83" s="9" t="s">
        <v>143</v>
      </c>
      <c r="J83" s="9" t="s">
        <v>155</v>
      </c>
      <c r="K83" s="9" t="s">
        <v>147</v>
      </c>
      <c r="L83" s="9">
        <v>100</v>
      </c>
      <c r="M83" s="9" t="s">
        <v>158</v>
      </c>
      <c r="N83" s="9"/>
      <c r="O83" s="9"/>
      <c r="P83" s="16">
        <v>10045</v>
      </c>
      <c r="Q83" s="10">
        <v>8879</v>
      </c>
      <c r="R83" s="11">
        <v>45591</v>
      </c>
      <c r="S83" s="11">
        <v>45612</v>
      </c>
      <c r="T83" s="11"/>
      <c r="U83" s="25" t="s">
        <v>338</v>
      </c>
      <c r="V83" s="9"/>
      <c r="W83" s="9" t="s">
        <v>207</v>
      </c>
    </row>
    <row r="84" spans="1:23" s="1" customFormat="1" ht="20.2" customHeight="1" x14ac:dyDescent="0.3">
      <c r="A84" s="9">
        <v>83</v>
      </c>
      <c r="B84" s="9">
        <v>1718948</v>
      </c>
      <c r="C84" s="9">
        <v>1286883</v>
      </c>
      <c r="D84" s="9" t="s">
        <v>125</v>
      </c>
      <c r="E84" s="9" t="s">
        <v>349</v>
      </c>
      <c r="F84" s="9" t="s">
        <v>220</v>
      </c>
      <c r="G84" s="9"/>
      <c r="H84" s="9" t="s">
        <v>8</v>
      </c>
      <c r="I84" s="9" t="s">
        <v>143</v>
      </c>
      <c r="J84" s="9" t="s">
        <v>155</v>
      </c>
      <c r="K84" s="9" t="s">
        <v>147</v>
      </c>
      <c r="L84" s="9">
        <v>90</v>
      </c>
      <c r="M84" s="9" t="s">
        <v>158</v>
      </c>
      <c r="N84" s="9"/>
      <c r="O84" s="9"/>
      <c r="P84" s="16">
        <v>11649</v>
      </c>
      <c r="Q84" s="10">
        <v>11749</v>
      </c>
      <c r="R84" s="11">
        <v>45591</v>
      </c>
      <c r="S84" s="11">
        <v>45606</v>
      </c>
      <c r="T84" s="11">
        <v>45614</v>
      </c>
      <c r="U84" s="25" t="s">
        <v>340</v>
      </c>
      <c r="V84" s="9" t="s">
        <v>285</v>
      </c>
      <c r="W84" s="9" t="s">
        <v>183</v>
      </c>
    </row>
    <row r="85" spans="1:23" s="1" customFormat="1" ht="20.2" customHeight="1" x14ac:dyDescent="0.3">
      <c r="A85" s="9">
        <v>84</v>
      </c>
      <c r="B85" s="9" t="s">
        <v>303</v>
      </c>
      <c r="C85" s="9"/>
      <c r="D85" s="9" t="s">
        <v>221</v>
      </c>
      <c r="E85" s="9" t="s">
        <v>352</v>
      </c>
      <c r="F85" s="9" t="s">
        <v>101</v>
      </c>
      <c r="G85" s="9"/>
      <c r="H85" s="9" t="s">
        <v>222</v>
      </c>
      <c r="I85" s="9" t="s">
        <v>143</v>
      </c>
      <c r="J85" s="9" t="s">
        <v>146</v>
      </c>
      <c r="K85" s="9" t="s">
        <v>149</v>
      </c>
      <c r="L85" s="9">
        <v>100</v>
      </c>
      <c r="M85" s="9" t="s">
        <v>157</v>
      </c>
      <c r="N85" s="9"/>
      <c r="O85" s="9"/>
      <c r="P85" s="16">
        <v>4800</v>
      </c>
      <c r="Q85" s="10">
        <v>4800</v>
      </c>
      <c r="R85" s="11">
        <v>45593</v>
      </c>
      <c r="S85" s="11">
        <v>45607</v>
      </c>
      <c r="T85" s="11">
        <v>45617</v>
      </c>
      <c r="U85" s="25" t="s">
        <v>340</v>
      </c>
      <c r="V85" s="9" t="s">
        <v>285</v>
      </c>
      <c r="W85" s="9" t="s">
        <v>183</v>
      </c>
    </row>
    <row r="86" spans="1:23" s="1" customFormat="1" ht="20.2" customHeight="1" x14ac:dyDescent="0.3">
      <c r="A86" s="9">
        <v>85</v>
      </c>
      <c r="B86" s="9" t="s">
        <v>304</v>
      </c>
      <c r="C86" s="9"/>
      <c r="D86" s="9" t="s">
        <v>221</v>
      </c>
      <c r="E86" s="9" t="s">
        <v>352</v>
      </c>
      <c r="F86" s="9" t="s">
        <v>101</v>
      </c>
      <c r="G86" s="9"/>
      <c r="H86" s="9" t="s">
        <v>222</v>
      </c>
      <c r="I86" s="9" t="s">
        <v>143</v>
      </c>
      <c r="J86" s="9" t="s">
        <v>146</v>
      </c>
      <c r="K86" s="9" t="s">
        <v>149</v>
      </c>
      <c r="L86" s="9">
        <v>120</v>
      </c>
      <c r="M86" s="9" t="s">
        <v>157</v>
      </c>
      <c r="N86" s="9"/>
      <c r="O86" s="9"/>
      <c r="P86" s="16">
        <v>5000</v>
      </c>
      <c r="Q86" s="10">
        <v>4800</v>
      </c>
      <c r="R86" s="11">
        <v>45593</v>
      </c>
      <c r="S86" s="11">
        <v>45607</v>
      </c>
      <c r="T86" s="11">
        <v>45617</v>
      </c>
      <c r="U86" s="25" t="s">
        <v>340</v>
      </c>
      <c r="V86" s="9" t="s">
        <v>285</v>
      </c>
      <c r="W86" s="9" t="s">
        <v>183</v>
      </c>
    </row>
    <row r="87" spans="1:23" s="1" customFormat="1" ht="20.2" customHeight="1" x14ac:dyDescent="0.3">
      <c r="A87" s="9">
        <v>86</v>
      </c>
      <c r="B87" s="9">
        <v>1744766</v>
      </c>
      <c r="C87" s="9">
        <v>1298738</v>
      </c>
      <c r="D87" s="9" t="s">
        <v>223</v>
      </c>
      <c r="E87" s="9" t="s">
        <v>352</v>
      </c>
      <c r="F87" s="9" t="s">
        <v>229</v>
      </c>
      <c r="G87" s="9"/>
      <c r="H87" s="9" t="s">
        <v>8</v>
      </c>
      <c r="I87" s="9" t="s">
        <v>143</v>
      </c>
      <c r="J87" s="9" t="s">
        <v>155</v>
      </c>
      <c r="K87" s="9" t="s">
        <v>148</v>
      </c>
      <c r="L87" s="9">
        <v>80</v>
      </c>
      <c r="M87" s="9" t="s">
        <v>157</v>
      </c>
      <c r="N87" s="9"/>
      <c r="O87" s="9"/>
      <c r="P87" s="16">
        <v>12099</v>
      </c>
      <c r="Q87" s="10" t="s">
        <v>16</v>
      </c>
      <c r="R87" s="11">
        <v>45607</v>
      </c>
      <c r="S87" s="11">
        <v>45622</v>
      </c>
      <c r="T87" s="11">
        <v>45623</v>
      </c>
      <c r="U87" s="25" t="s">
        <v>340</v>
      </c>
      <c r="V87" s="9" t="s">
        <v>285</v>
      </c>
      <c r="W87" s="9" t="s">
        <v>183</v>
      </c>
    </row>
    <row r="88" spans="1:23" s="1" customFormat="1" ht="20.2" customHeight="1" x14ac:dyDescent="0.3">
      <c r="A88" s="9">
        <v>87</v>
      </c>
      <c r="B88" s="9">
        <v>240082226</v>
      </c>
      <c r="C88" s="9"/>
      <c r="D88" s="9" t="s">
        <v>47</v>
      </c>
      <c r="E88" s="9"/>
      <c r="F88" s="9" t="s">
        <v>199</v>
      </c>
      <c r="G88" s="9"/>
      <c r="H88" s="9" t="s">
        <v>47</v>
      </c>
      <c r="I88" s="9" t="s">
        <v>156</v>
      </c>
      <c r="J88" s="9" t="s">
        <v>154</v>
      </c>
      <c r="K88" s="9" t="s">
        <v>224</v>
      </c>
      <c r="L88" s="9"/>
      <c r="M88" s="9" t="s">
        <v>158</v>
      </c>
      <c r="N88" s="9" t="s">
        <v>225</v>
      </c>
      <c r="O88" s="9"/>
      <c r="P88" s="16">
        <v>15872</v>
      </c>
      <c r="Q88" s="10" t="s">
        <v>226</v>
      </c>
      <c r="R88" s="11">
        <v>45604</v>
      </c>
      <c r="S88" s="11">
        <v>45363</v>
      </c>
      <c r="T88" s="11">
        <v>45610</v>
      </c>
      <c r="U88" s="25" t="s">
        <v>341</v>
      </c>
      <c r="V88" s="9" t="s">
        <v>285</v>
      </c>
      <c r="W88" s="9" t="s">
        <v>183</v>
      </c>
    </row>
    <row r="89" spans="1:23" s="1" customFormat="1" ht="20.2" customHeight="1" x14ac:dyDescent="0.3">
      <c r="A89" s="9">
        <v>88</v>
      </c>
      <c r="B89" s="9" t="s">
        <v>227</v>
      </c>
      <c r="C89" s="9"/>
      <c r="D89" s="9" t="s">
        <v>228</v>
      </c>
      <c r="E89" s="9" t="s">
        <v>352</v>
      </c>
      <c r="F89" s="9" t="s">
        <v>31</v>
      </c>
      <c r="G89" s="9"/>
      <c r="H89" s="9" t="s">
        <v>228</v>
      </c>
      <c r="I89" s="9" t="s">
        <v>143</v>
      </c>
      <c r="J89" s="9" t="s">
        <v>146</v>
      </c>
      <c r="K89" s="9" t="s">
        <v>167</v>
      </c>
      <c r="L89" s="9">
        <v>120</v>
      </c>
      <c r="M89" s="9" t="s">
        <v>157</v>
      </c>
      <c r="N89" s="9"/>
      <c r="O89" s="9"/>
      <c r="P89" s="16">
        <v>4520</v>
      </c>
      <c r="Q89" s="10" t="s">
        <v>79</v>
      </c>
      <c r="R89" s="11">
        <v>45606</v>
      </c>
      <c r="S89" s="11">
        <v>45618</v>
      </c>
      <c r="T89" s="11">
        <v>45617</v>
      </c>
      <c r="U89" s="25" t="s">
        <v>339</v>
      </c>
      <c r="V89" s="9" t="s">
        <v>285</v>
      </c>
      <c r="W89" s="9" t="s">
        <v>183</v>
      </c>
    </row>
    <row r="90" spans="1:23" s="1" customFormat="1" ht="20.2" customHeight="1" x14ac:dyDescent="0.3">
      <c r="A90" s="9">
        <v>89</v>
      </c>
      <c r="B90" s="9" t="s">
        <v>230</v>
      </c>
      <c r="C90" s="9"/>
      <c r="D90" s="9" t="s">
        <v>77</v>
      </c>
      <c r="E90" s="9" t="s">
        <v>353</v>
      </c>
      <c r="F90" s="9" t="s">
        <v>184</v>
      </c>
      <c r="G90" s="9"/>
      <c r="H90" s="9" t="s">
        <v>331</v>
      </c>
      <c r="I90" s="9" t="s">
        <v>143</v>
      </c>
      <c r="J90" s="9" t="s">
        <v>155</v>
      </c>
      <c r="K90" s="9" t="s">
        <v>147</v>
      </c>
      <c r="L90" s="9">
        <v>90</v>
      </c>
      <c r="M90" s="9" t="s">
        <v>158</v>
      </c>
      <c r="N90" s="9"/>
      <c r="O90" s="9"/>
      <c r="P90" s="16">
        <v>5766</v>
      </c>
      <c r="Q90" s="10" t="s">
        <v>79</v>
      </c>
      <c r="R90" s="11">
        <v>45608</v>
      </c>
      <c r="S90" s="11">
        <v>45622</v>
      </c>
      <c r="T90" s="11">
        <v>45621</v>
      </c>
      <c r="U90" s="25" t="s">
        <v>339</v>
      </c>
      <c r="V90" s="9" t="s">
        <v>285</v>
      </c>
      <c r="W90" s="9" t="s">
        <v>183</v>
      </c>
    </row>
    <row r="91" spans="1:23" s="1" customFormat="1" ht="20.2" customHeight="1" x14ac:dyDescent="0.3">
      <c r="A91" s="9">
        <v>90</v>
      </c>
      <c r="B91" s="9">
        <v>1752544</v>
      </c>
      <c r="C91" s="9">
        <v>1302011</v>
      </c>
      <c r="D91" s="9" t="s">
        <v>231</v>
      </c>
      <c r="E91" s="9" t="s">
        <v>352</v>
      </c>
      <c r="F91" s="9" t="s">
        <v>101</v>
      </c>
      <c r="G91" s="9"/>
      <c r="H91" s="9" t="s">
        <v>8</v>
      </c>
      <c r="I91" s="9" t="s">
        <v>143</v>
      </c>
      <c r="J91" s="9" t="s">
        <v>146</v>
      </c>
      <c r="K91" s="9" t="s">
        <v>167</v>
      </c>
      <c r="L91" s="9">
        <v>160</v>
      </c>
      <c r="M91" s="9" t="s">
        <v>163</v>
      </c>
      <c r="N91" s="9"/>
      <c r="O91" s="9"/>
      <c r="P91" s="16">
        <v>11395</v>
      </c>
      <c r="Q91" s="10" t="s">
        <v>16</v>
      </c>
      <c r="R91" s="11">
        <v>45608</v>
      </c>
      <c r="S91" s="11">
        <v>45620</v>
      </c>
      <c r="T91" s="11">
        <v>45623</v>
      </c>
      <c r="U91" s="25" t="s">
        <v>340</v>
      </c>
      <c r="V91" s="9" t="s">
        <v>285</v>
      </c>
      <c r="W91" s="9" t="s">
        <v>183</v>
      </c>
    </row>
    <row r="92" spans="1:23" s="1" customFormat="1" ht="20.2" customHeight="1" x14ac:dyDescent="0.3">
      <c r="A92" s="9">
        <v>91</v>
      </c>
      <c r="B92" s="9">
        <v>1755075</v>
      </c>
      <c r="C92" s="9">
        <v>1303159</v>
      </c>
      <c r="D92" s="9" t="s">
        <v>232</v>
      </c>
      <c r="E92" s="9" t="s">
        <v>352</v>
      </c>
      <c r="F92" s="9" t="s">
        <v>31</v>
      </c>
      <c r="G92" s="9"/>
      <c r="H92" s="9" t="s">
        <v>8</v>
      </c>
      <c r="I92" s="9" t="s">
        <v>143</v>
      </c>
      <c r="J92" s="9" t="s">
        <v>155</v>
      </c>
      <c r="K92" s="9" t="s">
        <v>233</v>
      </c>
      <c r="L92" s="9">
        <v>80</v>
      </c>
      <c r="M92" s="9" t="s">
        <v>157</v>
      </c>
      <c r="N92" s="9"/>
      <c r="O92" s="9"/>
      <c r="P92" s="16">
        <v>12919</v>
      </c>
      <c r="Q92" s="10" t="s">
        <v>16</v>
      </c>
      <c r="R92" s="11">
        <v>45610</v>
      </c>
      <c r="S92" s="11">
        <v>45626</v>
      </c>
      <c r="T92" s="11">
        <v>45623</v>
      </c>
      <c r="U92" s="25" t="s">
        <v>339</v>
      </c>
      <c r="V92" s="9" t="s">
        <v>285</v>
      </c>
      <c r="W92" s="9" t="s">
        <v>183</v>
      </c>
    </row>
    <row r="93" spans="1:23" s="1" customFormat="1" ht="20.2" customHeight="1" x14ac:dyDescent="0.3">
      <c r="A93" s="9">
        <v>92</v>
      </c>
      <c r="B93" s="9" t="s">
        <v>234</v>
      </c>
      <c r="C93" s="9"/>
      <c r="D93" s="9" t="s">
        <v>77</v>
      </c>
      <c r="E93" s="9" t="s">
        <v>353</v>
      </c>
      <c r="F93" s="9" t="s">
        <v>184</v>
      </c>
      <c r="G93" s="9"/>
      <c r="H93" s="9" t="s">
        <v>331</v>
      </c>
      <c r="I93" s="9" t="s">
        <v>235</v>
      </c>
      <c r="J93" s="9" t="s">
        <v>155</v>
      </c>
      <c r="K93" s="9" t="s">
        <v>145</v>
      </c>
      <c r="L93" s="9">
        <v>120</v>
      </c>
      <c r="M93" s="9" t="s">
        <v>162</v>
      </c>
      <c r="N93" s="9"/>
      <c r="O93" s="9"/>
      <c r="P93" s="16">
        <v>6376</v>
      </c>
      <c r="Q93" s="10" t="s">
        <v>79</v>
      </c>
      <c r="R93" s="11">
        <v>45610</v>
      </c>
      <c r="S93" s="11">
        <v>45623</v>
      </c>
      <c r="T93" s="11">
        <v>45621</v>
      </c>
      <c r="U93" s="25" t="s">
        <v>339</v>
      </c>
      <c r="V93" s="9" t="s">
        <v>285</v>
      </c>
      <c r="W93" s="9" t="s">
        <v>183</v>
      </c>
    </row>
    <row r="94" spans="1:23" s="1" customFormat="1" ht="20.2" customHeight="1" x14ac:dyDescent="0.3">
      <c r="A94" s="9">
        <v>93</v>
      </c>
      <c r="B94" s="9" t="s">
        <v>236</v>
      </c>
      <c r="C94" s="9"/>
      <c r="D94" s="9" t="s">
        <v>77</v>
      </c>
      <c r="E94" s="9"/>
      <c r="F94" s="9" t="s">
        <v>237</v>
      </c>
      <c r="G94" s="9"/>
      <c r="H94" s="9" t="s">
        <v>331</v>
      </c>
      <c r="I94" s="9" t="s">
        <v>143</v>
      </c>
      <c r="J94" s="9" t="s">
        <v>238</v>
      </c>
      <c r="K94" s="9" t="s">
        <v>145</v>
      </c>
      <c r="L94" s="9">
        <v>90</v>
      </c>
      <c r="M94" s="9" t="s">
        <v>158</v>
      </c>
      <c r="N94" s="9"/>
      <c r="O94" s="9"/>
      <c r="P94" s="16">
        <v>5294</v>
      </c>
      <c r="Q94" s="10" t="s">
        <v>79</v>
      </c>
      <c r="R94" s="11">
        <v>45610</v>
      </c>
      <c r="S94" s="11">
        <v>45623</v>
      </c>
      <c r="T94" s="11">
        <v>45621</v>
      </c>
      <c r="U94" s="25" t="s">
        <v>339</v>
      </c>
      <c r="V94" s="9" t="s">
        <v>285</v>
      </c>
      <c r="W94" s="9" t="s">
        <v>183</v>
      </c>
    </row>
    <row r="95" spans="1:23" s="1" customFormat="1" ht="20.2" customHeight="1" x14ac:dyDescent="0.3">
      <c r="A95" s="9">
        <v>94</v>
      </c>
      <c r="B95" s="9">
        <v>265453625</v>
      </c>
      <c r="C95" s="9"/>
      <c r="D95" s="9" t="s">
        <v>240</v>
      </c>
      <c r="E95" s="9" t="s">
        <v>349</v>
      </c>
      <c r="F95" s="9" t="s">
        <v>34</v>
      </c>
      <c r="G95" s="9">
        <v>1277038843</v>
      </c>
      <c r="H95" s="9" t="s">
        <v>332</v>
      </c>
      <c r="I95" s="9" t="s">
        <v>235</v>
      </c>
      <c r="J95" s="9" t="s">
        <v>238</v>
      </c>
      <c r="K95" s="9" t="s">
        <v>241</v>
      </c>
      <c r="L95" s="9">
        <v>80</v>
      </c>
      <c r="M95" s="9" t="s">
        <v>157</v>
      </c>
      <c r="N95" s="9"/>
      <c r="O95" s="9"/>
      <c r="P95" s="16">
        <v>7396</v>
      </c>
      <c r="Q95" s="10" t="s">
        <v>16</v>
      </c>
      <c r="R95" s="11">
        <v>45613</v>
      </c>
      <c r="S95" s="11">
        <v>45624</v>
      </c>
      <c r="T95" s="11">
        <v>45622</v>
      </c>
      <c r="U95" s="25" t="s">
        <v>339</v>
      </c>
      <c r="V95" s="9" t="s">
        <v>285</v>
      </c>
      <c r="W95" s="9" t="s">
        <v>183</v>
      </c>
    </row>
    <row r="96" spans="1:23" s="1" customFormat="1" ht="20.2" customHeight="1" x14ac:dyDescent="0.3">
      <c r="A96" s="9">
        <v>95</v>
      </c>
      <c r="B96" s="9">
        <v>1762617</v>
      </c>
      <c r="C96" s="9">
        <v>1306879</v>
      </c>
      <c r="D96" s="9" t="s">
        <v>125</v>
      </c>
      <c r="E96" s="9" t="s">
        <v>349</v>
      </c>
      <c r="F96" s="9" t="s">
        <v>242</v>
      </c>
      <c r="G96" s="9"/>
      <c r="H96" s="9" t="s">
        <v>8</v>
      </c>
      <c r="I96" s="9" t="s">
        <v>143</v>
      </c>
      <c r="J96" s="9" t="s">
        <v>155</v>
      </c>
      <c r="K96" s="9" t="s">
        <v>147</v>
      </c>
      <c r="L96" s="9">
        <v>90</v>
      </c>
      <c r="M96" s="9" t="s">
        <v>158</v>
      </c>
      <c r="N96" s="9"/>
      <c r="O96" s="9"/>
      <c r="P96" s="16">
        <v>13439</v>
      </c>
      <c r="Q96" s="10">
        <v>13575</v>
      </c>
      <c r="R96" s="11">
        <v>45616</v>
      </c>
      <c r="S96" s="11">
        <v>45631</v>
      </c>
      <c r="T96" s="11">
        <v>45622</v>
      </c>
      <c r="U96" s="25" t="s">
        <v>339</v>
      </c>
      <c r="V96" s="9" t="s">
        <v>285</v>
      </c>
      <c r="W96" s="9" t="s">
        <v>183</v>
      </c>
    </row>
    <row r="97" spans="1:23" s="1" customFormat="1" ht="20.2" customHeight="1" x14ac:dyDescent="0.3">
      <c r="A97" s="9">
        <v>96</v>
      </c>
      <c r="B97" s="9" t="s">
        <v>296</v>
      </c>
      <c r="C97" s="9"/>
      <c r="D97" s="9" t="s">
        <v>36</v>
      </c>
      <c r="E97" s="9" t="s">
        <v>352</v>
      </c>
      <c r="F97" s="9" t="s">
        <v>41</v>
      </c>
      <c r="G97" s="9"/>
      <c r="H97" s="9" t="s">
        <v>38</v>
      </c>
      <c r="I97" s="9" t="s">
        <v>143</v>
      </c>
      <c r="J97" s="9" t="s">
        <v>243</v>
      </c>
      <c r="K97" s="9" t="s">
        <v>244</v>
      </c>
      <c r="L97" s="9">
        <v>160</v>
      </c>
      <c r="M97" s="9" t="s">
        <v>158</v>
      </c>
      <c r="N97" s="9"/>
      <c r="O97" s="9"/>
      <c r="P97" s="16">
        <v>5100</v>
      </c>
      <c r="Q97" s="10" t="s">
        <v>79</v>
      </c>
      <c r="R97" s="11">
        <v>45610</v>
      </c>
      <c r="S97" s="11">
        <v>45634</v>
      </c>
      <c r="T97" s="9"/>
      <c r="U97" s="25" t="s">
        <v>338</v>
      </c>
      <c r="V97" s="9"/>
      <c r="W97" s="9"/>
    </row>
    <row r="98" spans="1:23" s="1" customFormat="1" ht="20.2" customHeight="1" x14ac:dyDescent="0.3">
      <c r="A98" s="9">
        <v>97</v>
      </c>
      <c r="B98" s="9" t="s">
        <v>291</v>
      </c>
      <c r="C98" s="9"/>
      <c r="D98" s="9" t="s">
        <v>245</v>
      </c>
      <c r="E98" s="9" t="s">
        <v>352</v>
      </c>
      <c r="F98" s="9" t="s">
        <v>44</v>
      </c>
      <c r="G98" s="9"/>
      <c r="H98" s="9" t="s">
        <v>246</v>
      </c>
      <c r="I98" s="9" t="s">
        <v>235</v>
      </c>
      <c r="J98" s="9" t="s">
        <v>146</v>
      </c>
      <c r="K98" s="9" t="s">
        <v>247</v>
      </c>
      <c r="L98" s="9">
        <v>160</v>
      </c>
      <c r="M98" s="9" t="s">
        <v>166</v>
      </c>
      <c r="N98" s="9" t="s">
        <v>157</v>
      </c>
      <c r="O98" s="9"/>
      <c r="P98" s="16">
        <v>5700</v>
      </c>
      <c r="Q98" s="10">
        <v>5800</v>
      </c>
      <c r="R98" s="11">
        <v>45618</v>
      </c>
      <c r="S98" s="11">
        <v>45628</v>
      </c>
      <c r="T98" s="11">
        <v>45623</v>
      </c>
      <c r="U98" s="25" t="s">
        <v>339</v>
      </c>
      <c r="V98" s="9" t="s">
        <v>285</v>
      </c>
      <c r="W98" s="9" t="s">
        <v>183</v>
      </c>
    </row>
    <row r="99" spans="1:23" s="1" customFormat="1" ht="20.2" customHeight="1" x14ac:dyDescent="0.3">
      <c r="A99" s="9">
        <v>98</v>
      </c>
      <c r="B99" s="9">
        <v>1765451</v>
      </c>
      <c r="C99" s="9">
        <v>1308241</v>
      </c>
      <c r="D99" s="9" t="s">
        <v>248</v>
      </c>
      <c r="E99" s="9" t="s">
        <v>352</v>
      </c>
      <c r="F99" s="9" t="s">
        <v>249</v>
      </c>
      <c r="G99" s="9"/>
      <c r="H99" s="9" t="s">
        <v>8</v>
      </c>
      <c r="I99" s="9" t="s">
        <v>143</v>
      </c>
      <c r="J99" s="9" t="s">
        <v>243</v>
      </c>
      <c r="K99" s="9" t="s">
        <v>250</v>
      </c>
      <c r="L99" s="9">
        <v>120</v>
      </c>
      <c r="M99" s="9" t="s">
        <v>162</v>
      </c>
      <c r="N99" s="9"/>
      <c r="O99" s="9"/>
      <c r="P99" s="16">
        <v>10885</v>
      </c>
      <c r="Q99" s="10">
        <v>7965</v>
      </c>
      <c r="R99" s="11">
        <v>45620</v>
      </c>
      <c r="S99" s="11">
        <v>45631</v>
      </c>
      <c r="T99" s="11">
        <v>45636</v>
      </c>
      <c r="U99" s="25" t="s">
        <v>340</v>
      </c>
      <c r="V99" s="9" t="s">
        <v>285</v>
      </c>
      <c r="W99" s="9" t="s">
        <v>183</v>
      </c>
    </row>
    <row r="100" spans="1:23" s="1" customFormat="1" ht="20.2" customHeight="1" x14ac:dyDescent="0.3">
      <c r="A100" s="9">
        <v>99</v>
      </c>
      <c r="B100" s="9" t="s">
        <v>297</v>
      </c>
      <c r="C100" s="9"/>
      <c r="D100" s="9" t="s">
        <v>36</v>
      </c>
      <c r="E100" s="9" t="s">
        <v>352</v>
      </c>
      <c r="F100" s="9" t="s">
        <v>41</v>
      </c>
      <c r="G100" s="9"/>
      <c r="H100" s="9" t="s">
        <v>38</v>
      </c>
      <c r="I100" s="9" t="s">
        <v>156</v>
      </c>
      <c r="J100" s="9" t="s">
        <v>251</v>
      </c>
      <c r="K100" s="9" t="s">
        <v>251</v>
      </c>
      <c r="L100" s="9"/>
      <c r="M100" s="9"/>
      <c r="N100" s="9"/>
      <c r="O100" s="9"/>
      <c r="P100" s="16">
        <v>6000</v>
      </c>
      <c r="Q100" s="10">
        <v>6000</v>
      </c>
      <c r="R100" s="11">
        <v>45615</v>
      </c>
      <c r="S100" s="11">
        <v>45631</v>
      </c>
      <c r="T100" s="11">
        <v>45616</v>
      </c>
      <c r="U100" s="25" t="s">
        <v>339</v>
      </c>
      <c r="V100" s="9" t="s">
        <v>287</v>
      </c>
      <c r="W100" s="9" t="s">
        <v>183</v>
      </c>
    </row>
    <row r="101" spans="1:23" s="1" customFormat="1" ht="20.2" customHeight="1" x14ac:dyDescent="0.3">
      <c r="A101" s="9">
        <v>100</v>
      </c>
      <c r="B101" s="9">
        <v>1782674</v>
      </c>
      <c r="C101" s="9">
        <v>1315860</v>
      </c>
      <c r="D101" s="9" t="s">
        <v>252</v>
      </c>
      <c r="E101" s="9" t="s">
        <v>350</v>
      </c>
      <c r="F101" s="9" t="s">
        <v>253</v>
      </c>
      <c r="G101" s="9"/>
      <c r="H101" s="9" t="s">
        <v>8</v>
      </c>
      <c r="I101" s="9" t="s">
        <v>254</v>
      </c>
      <c r="J101" s="9"/>
      <c r="K101" s="9" t="s">
        <v>255</v>
      </c>
      <c r="L101" s="9"/>
      <c r="M101" s="9"/>
      <c r="N101" s="9"/>
      <c r="O101" s="9"/>
      <c r="P101" s="16">
        <v>8449</v>
      </c>
      <c r="Q101" s="10" t="s">
        <v>16</v>
      </c>
      <c r="R101" s="11">
        <v>45623</v>
      </c>
      <c r="S101" s="11">
        <v>45636</v>
      </c>
      <c r="T101" s="11">
        <v>45649</v>
      </c>
      <c r="U101" s="25" t="s">
        <v>340</v>
      </c>
      <c r="V101" s="9" t="s">
        <v>283</v>
      </c>
      <c r="W101" s="9" t="s">
        <v>183</v>
      </c>
    </row>
    <row r="102" spans="1:23" s="1" customFormat="1" ht="20.2" customHeight="1" x14ac:dyDescent="0.3">
      <c r="A102" s="9">
        <v>101</v>
      </c>
      <c r="B102" s="9">
        <v>1781530</v>
      </c>
      <c r="C102" s="9">
        <v>1315450</v>
      </c>
      <c r="D102" s="9" t="s">
        <v>256</v>
      </c>
      <c r="E102" s="9" t="s">
        <v>352</v>
      </c>
      <c r="F102" s="9" t="s">
        <v>53</v>
      </c>
      <c r="G102" s="9"/>
      <c r="H102" s="9" t="s">
        <v>8</v>
      </c>
      <c r="I102" s="9" t="s">
        <v>254</v>
      </c>
      <c r="J102" s="9" t="s">
        <v>257</v>
      </c>
      <c r="K102" s="9" t="s">
        <v>258</v>
      </c>
      <c r="L102" s="9"/>
      <c r="M102" s="9" t="s">
        <v>157</v>
      </c>
      <c r="N102" s="9" t="s">
        <v>259</v>
      </c>
      <c r="O102" s="9"/>
      <c r="P102" s="16">
        <v>10249</v>
      </c>
      <c r="Q102" s="10">
        <v>6211</v>
      </c>
      <c r="R102" s="11">
        <v>45623</v>
      </c>
      <c r="S102" s="11">
        <v>45636</v>
      </c>
      <c r="T102" s="11">
        <v>45645</v>
      </c>
      <c r="U102" s="25" t="s">
        <v>340</v>
      </c>
      <c r="V102" s="9" t="s">
        <v>285</v>
      </c>
      <c r="W102" s="9" t="s">
        <v>183</v>
      </c>
    </row>
    <row r="103" spans="1:23" s="1" customFormat="1" ht="20.2" customHeight="1" x14ac:dyDescent="0.3">
      <c r="A103" s="9">
        <v>102</v>
      </c>
      <c r="B103" s="9">
        <v>1795447</v>
      </c>
      <c r="C103" s="9">
        <v>1321584</v>
      </c>
      <c r="D103" s="9" t="s">
        <v>260</v>
      </c>
      <c r="E103" s="9" t="s">
        <v>350</v>
      </c>
      <c r="F103" s="9" t="s">
        <v>261</v>
      </c>
      <c r="G103" s="9"/>
      <c r="H103" s="9" t="s">
        <v>8</v>
      </c>
      <c r="I103" s="9" t="s">
        <v>143</v>
      </c>
      <c r="J103" s="9" t="s">
        <v>155</v>
      </c>
      <c r="K103" s="9" t="s">
        <v>148</v>
      </c>
      <c r="L103" s="9">
        <v>100</v>
      </c>
      <c r="M103" s="9" t="s">
        <v>158</v>
      </c>
      <c r="N103" s="9"/>
      <c r="O103" s="9"/>
      <c r="P103" s="16">
        <v>14905</v>
      </c>
      <c r="Q103" s="10" t="s">
        <v>16</v>
      </c>
      <c r="R103" s="11">
        <v>45625</v>
      </c>
      <c r="S103" s="11">
        <v>45641</v>
      </c>
      <c r="T103" s="9"/>
      <c r="U103" s="25" t="s">
        <v>338</v>
      </c>
      <c r="V103" s="9" t="s">
        <v>284</v>
      </c>
      <c r="W103" s="9" t="s">
        <v>207</v>
      </c>
    </row>
    <row r="104" spans="1:23" s="1" customFormat="1" ht="20.2" customHeight="1" x14ac:dyDescent="0.3">
      <c r="A104" s="9">
        <v>103</v>
      </c>
      <c r="B104" s="9">
        <v>1808440</v>
      </c>
      <c r="C104" s="9">
        <v>1327172</v>
      </c>
      <c r="D104" s="9" t="s">
        <v>262</v>
      </c>
      <c r="E104" s="9" t="s">
        <v>352</v>
      </c>
      <c r="F104" s="9" t="s">
        <v>61</v>
      </c>
      <c r="G104" s="9"/>
      <c r="H104" s="9" t="s">
        <v>8</v>
      </c>
      <c r="I104" s="9" t="s">
        <v>254</v>
      </c>
      <c r="J104" s="9" t="s">
        <v>257</v>
      </c>
      <c r="K104" s="9" t="s">
        <v>258</v>
      </c>
      <c r="L104" s="9"/>
      <c r="M104" s="9" t="s">
        <v>158</v>
      </c>
      <c r="N104" s="9" t="s">
        <v>263</v>
      </c>
      <c r="O104" s="9"/>
      <c r="P104" s="16">
        <v>10249</v>
      </c>
      <c r="Q104" s="10" t="s">
        <v>16</v>
      </c>
      <c r="R104" s="11">
        <v>45626</v>
      </c>
      <c r="S104" s="11">
        <v>45638</v>
      </c>
      <c r="T104" s="9"/>
      <c r="U104" s="25" t="s">
        <v>338</v>
      </c>
      <c r="V104" s="9"/>
      <c r="W104" s="9" t="s">
        <v>207</v>
      </c>
    </row>
    <row r="105" spans="1:23" s="1" customFormat="1" ht="20.2" customHeight="1" x14ac:dyDescent="0.3">
      <c r="A105" s="9">
        <v>104</v>
      </c>
      <c r="B105" s="9">
        <v>1808441</v>
      </c>
      <c r="C105" s="9">
        <v>1327172</v>
      </c>
      <c r="D105" s="9" t="s">
        <v>264</v>
      </c>
      <c r="E105" s="9" t="s">
        <v>352</v>
      </c>
      <c r="F105" s="9" t="s">
        <v>61</v>
      </c>
      <c r="G105" s="9"/>
      <c r="H105" s="9" t="s">
        <v>8</v>
      </c>
      <c r="I105" s="9" t="s">
        <v>254</v>
      </c>
      <c r="J105" s="9" t="s">
        <v>179</v>
      </c>
      <c r="K105" s="9"/>
      <c r="L105" s="9"/>
      <c r="M105" s="9" t="s">
        <v>158</v>
      </c>
      <c r="N105" s="9" t="s">
        <v>265</v>
      </c>
      <c r="O105" s="9"/>
      <c r="P105" s="16">
        <v>9029</v>
      </c>
      <c r="Q105" s="10" t="s">
        <v>16</v>
      </c>
      <c r="R105" s="11">
        <v>45626</v>
      </c>
      <c r="S105" s="11">
        <v>45638</v>
      </c>
      <c r="T105" s="9"/>
      <c r="U105" s="25" t="s">
        <v>338</v>
      </c>
      <c r="V105" s="9"/>
      <c r="W105" s="9" t="s">
        <v>207</v>
      </c>
    </row>
    <row r="106" spans="1:23" s="1" customFormat="1" ht="20.2" customHeight="1" x14ac:dyDescent="0.3">
      <c r="A106" s="9">
        <v>105</v>
      </c>
      <c r="B106" s="9">
        <v>1805052</v>
      </c>
      <c r="C106" s="9">
        <v>1325637</v>
      </c>
      <c r="D106" s="9" t="s">
        <v>266</v>
      </c>
      <c r="E106" s="9" t="s">
        <v>192</v>
      </c>
      <c r="F106" s="9" t="s">
        <v>138</v>
      </c>
      <c r="G106" s="9"/>
      <c r="H106" s="9" t="s">
        <v>8</v>
      </c>
      <c r="I106" s="9" t="s">
        <v>254</v>
      </c>
      <c r="J106" s="9" t="s">
        <v>267</v>
      </c>
      <c r="K106" s="9"/>
      <c r="L106" s="9"/>
      <c r="M106" s="9" t="s">
        <v>158</v>
      </c>
      <c r="N106" s="9" t="s">
        <v>268</v>
      </c>
      <c r="O106" s="9"/>
      <c r="P106" s="16">
        <v>9029</v>
      </c>
      <c r="Q106" s="10" t="s">
        <v>16</v>
      </c>
      <c r="R106" s="11">
        <v>45626</v>
      </c>
      <c r="S106" s="11">
        <v>45638</v>
      </c>
      <c r="T106" s="9"/>
      <c r="U106" s="25" t="s">
        <v>338</v>
      </c>
      <c r="V106" s="9"/>
      <c r="W106" s="9"/>
    </row>
    <row r="107" spans="1:23" s="1" customFormat="1" ht="20.2" customHeight="1" x14ac:dyDescent="0.3">
      <c r="A107" s="9">
        <v>106</v>
      </c>
      <c r="B107" s="9">
        <v>1813823</v>
      </c>
      <c r="C107" s="9">
        <v>1329646</v>
      </c>
      <c r="D107" s="9" t="s">
        <v>269</v>
      </c>
      <c r="E107" s="9" t="s">
        <v>352</v>
      </c>
      <c r="F107" s="9" t="s">
        <v>270</v>
      </c>
      <c r="G107" s="9"/>
      <c r="H107" s="9" t="s">
        <v>8</v>
      </c>
      <c r="I107" s="9" t="s">
        <v>143</v>
      </c>
      <c r="J107" s="9" t="s">
        <v>238</v>
      </c>
      <c r="K107" s="9" t="s">
        <v>145</v>
      </c>
      <c r="L107" s="9">
        <v>80</v>
      </c>
      <c r="M107" s="9" t="s">
        <v>157</v>
      </c>
      <c r="N107" s="9"/>
      <c r="O107" s="9"/>
      <c r="P107" s="16">
        <v>12099</v>
      </c>
      <c r="Q107" s="10" t="s">
        <v>16</v>
      </c>
      <c r="R107" s="11">
        <v>45628</v>
      </c>
      <c r="S107" s="11">
        <v>45643</v>
      </c>
      <c r="T107" s="9"/>
      <c r="U107" s="25" t="s">
        <v>338</v>
      </c>
      <c r="V107" s="9"/>
      <c r="W107" s="9" t="s">
        <v>207</v>
      </c>
    </row>
    <row r="108" spans="1:23" s="1" customFormat="1" ht="20.2" customHeight="1" x14ac:dyDescent="0.3">
      <c r="A108" s="9">
        <v>107</v>
      </c>
      <c r="B108" s="9" t="s">
        <v>271</v>
      </c>
      <c r="C108" s="9"/>
      <c r="D108" s="9" t="s">
        <v>77</v>
      </c>
      <c r="E108" s="9" t="s">
        <v>353</v>
      </c>
      <c r="F108" s="9" t="s">
        <v>184</v>
      </c>
      <c r="G108" s="9"/>
      <c r="H108" s="9" t="s">
        <v>331</v>
      </c>
      <c r="I108" s="9" t="s">
        <v>143</v>
      </c>
      <c r="J108" s="9" t="s">
        <v>238</v>
      </c>
      <c r="K108" s="9" t="s">
        <v>241</v>
      </c>
      <c r="L108" s="9">
        <v>90</v>
      </c>
      <c r="M108" s="9" t="s">
        <v>160</v>
      </c>
      <c r="N108" s="9"/>
      <c r="O108" s="9"/>
      <c r="P108" s="16">
        <v>5217</v>
      </c>
      <c r="Q108" s="10" t="s">
        <v>79</v>
      </c>
      <c r="R108" s="11">
        <v>45627</v>
      </c>
      <c r="S108" s="11">
        <v>45640</v>
      </c>
      <c r="T108" s="11">
        <v>45636</v>
      </c>
      <c r="U108" s="25" t="s">
        <v>339</v>
      </c>
      <c r="V108" s="9" t="s">
        <v>285</v>
      </c>
      <c r="W108" s="9" t="s">
        <v>183</v>
      </c>
    </row>
    <row r="109" spans="1:23" s="1" customFormat="1" ht="20.2" customHeight="1" x14ac:dyDescent="0.3">
      <c r="A109" s="9">
        <v>108</v>
      </c>
      <c r="B109" s="9">
        <v>1810950</v>
      </c>
      <c r="C109" s="9">
        <v>1328141</v>
      </c>
      <c r="D109" s="9" t="s">
        <v>272</v>
      </c>
      <c r="E109" s="9" t="s">
        <v>353</v>
      </c>
      <c r="F109" s="9" t="s">
        <v>129</v>
      </c>
      <c r="G109" s="9"/>
      <c r="H109" s="9" t="s">
        <v>8</v>
      </c>
      <c r="I109" s="9" t="s">
        <v>235</v>
      </c>
      <c r="J109" s="9" t="s">
        <v>144</v>
      </c>
      <c r="K109" s="9"/>
      <c r="L109" s="9"/>
      <c r="M109" s="9" t="s">
        <v>158</v>
      </c>
      <c r="N109" s="9" t="s">
        <v>158</v>
      </c>
      <c r="O109" s="9"/>
      <c r="P109" s="16">
        <v>10249</v>
      </c>
      <c r="Q109" s="10">
        <v>6211</v>
      </c>
      <c r="R109" s="11">
        <v>45630</v>
      </c>
      <c r="S109" s="11">
        <v>45640</v>
      </c>
      <c r="T109" s="11">
        <v>45645</v>
      </c>
      <c r="U109" s="25" t="s">
        <v>340</v>
      </c>
      <c r="V109" s="9" t="s">
        <v>285</v>
      </c>
      <c r="W109" s="9" t="s">
        <v>183</v>
      </c>
    </row>
    <row r="110" spans="1:23" s="1" customFormat="1" ht="20.2" customHeight="1" x14ac:dyDescent="0.3">
      <c r="A110" s="9">
        <v>109</v>
      </c>
      <c r="B110" s="9">
        <v>240085463</v>
      </c>
      <c r="C110" s="9"/>
      <c r="D110" s="9" t="s">
        <v>273</v>
      </c>
      <c r="E110" s="9" t="s">
        <v>352</v>
      </c>
      <c r="F110" s="9" t="s">
        <v>274</v>
      </c>
      <c r="G110" s="9"/>
      <c r="H110" s="9" t="s">
        <v>47</v>
      </c>
      <c r="I110" s="9" t="s">
        <v>143</v>
      </c>
      <c r="J110" s="9" t="s">
        <v>155</v>
      </c>
      <c r="K110" s="9" t="s">
        <v>147</v>
      </c>
      <c r="L110" s="9"/>
      <c r="M110" s="9" t="s">
        <v>158</v>
      </c>
      <c r="N110" s="9"/>
      <c r="O110" s="9"/>
      <c r="P110" s="16">
        <v>10445</v>
      </c>
      <c r="Q110" s="10">
        <v>7707</v>
      </c>
      <c r="R110" s="11">
        <v>45635</v>
      </c>
      <c r="S110" s="11">
        <v>45657</v>
      </c>
      <c r="T110" s="11">
        <v>45638</v>
      </c>
      <c r="U110" s="25" t="s">
        <v>339</v>
      </c>
      <c r="V110" s="9" t="s">
        <v>285</v>
      </c>
      <c r="W110" s="9" t="s">
        <v>183</v>
      </c>
    </row>
    <row r="111" spans="1:23" s="1" customFormat="1" ht="20.2" customHeight="1" x14ac:dyDescent="0.3">
      <c r="A111" s="9">
        <v>110</v>
      </c>
      <c r="B111" s="9">
        <v>1818591</v>
      </c>
      <c r="C111" s="9">
        <v>1332300</v>
      </c>
      <c r="D111" s="9" t="s">
        <v>275</v>
      </c>
      <c r="E111" s="9" t="s">
        <v>352</v>
      </c>
      <c r="F111" s="9" t="s">
        <v>61</v>
      </c>
      <c r="G111" s="9"/>
      <c r="H111" s="9" t="s">
        <v>8</v>
      </c>
      <c r="I111" s="9" t="s">
        <v>254</v>
      </c>
      <c r="J111" s="9" t="s">
        <v>276</v>
      </c>
      <c r="K111" s="9" t="s">
        <v>258</v>
      </c>
      <c r="L111" s="9"/>
      <c r="M111" s="9" t="s">
        <v>158</v>
      </c>
      <c r="N111" s="9" t="s">
        <v>263</v>
      </c>
      <c r="O111" s="9"/>
      <c r="P111" s="16">
        <v>11199</v>
      </c>
      <c r="Q111" s="10">
        <v>11257</v>
      </c>
      <c r="R111" s="11">
        <v>45638</v>
      </c>
      <c r="S111" s="11">
        <v>45650</v>
      </c>
      <c r="T111" s="11">
        <v>45645</v>
      </c>
      <c r="U111" s="25" t="s">
        <v>339</v>
      </c>
      <c r="V111" s="9" t="s">
        <v>285</v>
      </c>
      <c r="W111" s="9" t="s">
        <v>183</v>
      </c>
    </row>
    <row r="112" spans="1:23" s="1" customFormat="1" ht="20.2" customHeight="1" x14ac:dyDescent="0.3">
      <c r="A112" s="9">
        <v>111</v>
      </c>
      <c r="B112" s="9">
        <v>1818396</v>
      </c>
      <c r="C112" s="9">
        <v>1332179</v>
      </c>
      <c r="D112" s="9" t="s">
        <v>277</v>
      </c>
      <c r="E112" s="9" t="s">
        <v>349</v>
      </c>
      <c r="F112" s="9" t="s">
        <v>242</v>
      </c>
      <c r="G112" s="9"/>
      <c r="H112" s="9" t="s">
        <v>8</v>
      </c>
      <c r="I112" s="9" t="s">
        <v>235</v>
      </c>
      <c r="J112" s="9" t="s">
        <v>155</v>
      </c>
      <c r="K112" s="9" t="s">
        <v>145</v>
      </c>
      <c r="L112" s="9">
        <v>80</v>
      </c>
      <c r="M112" s="9" t="s">
        <v>158</v>
      </c>
      <c r="N112" s="9"/>
      <c r="O112" s="9"/>
      <c r="P112" s="16">
        <v>13099</v>
      </c>
      <c r="Q112" s="10">
        <v>13231</v>
      </c>
      <c r="R112" s="11">
        <v>45638</v>
      </c>
      <c r="S112" s="11">
        <v>45654</v>
      </c>
      <c r="T112" s="11">
        <v>45655</v>
      </c>
      <c r="U112" s="25" t="s">
        <v>340</v>
      </c>
      <c r="V112" s="9" t="s">
        <v>285</v>
      </c>
      <c r="W112" s="9" t="s">
        <v>183</v>
      </c>
    </row>
    <row r="113" spans="1:23" s="1" customFormat="1" ht="20.2" customHeight="1" x14ac:dyDescent="0.3">
      <c r="A113" s="9">
        <v>112</v>
      </c>
      <c r="B113" s="9">
        <v>240085758</v>
      </c>
      <c r="C113" s="9"/>
      <c r="D113" s="9" t="s">
        <v>47</v>
      </c>
      <c r="E113" s="9"/>
      <c r="F113" s="9" t="s">
        <v>199</v>
      </c>
      <c r="G113" s="9"/>
      <c r="H113" s="9" t="s">
        <v>47</v>
      </c>
      <c r="I113" s="9" t="s">
        <v>156</v>
      </c>
      <c r="J113" s="9" t="s">
        <v>154</v>
      </c>
      <c r="K113" s="9" t="s">
        <v>224</v>
      </c>
      <c r="L113" s="9"/>
      <c r="M113" s="9" t="s">
        <v>158</v>
      </c>
      <c r="N113" s="9" t="s">
        <v>278</v>
      </c>
      <c r="O113" s="9"/>
      <c r="P113" s="16">
        <v>8700</v>
      </c>
      <c r="Q113" s="10" t="s">
        <v>79</v>
      </c>
      <c r="R113" s="11">
        <v>45640</v>
      </c>
      <c r="S113" s="11">
        <v>45662</v>
      </c>
      <c r="T113" s="11">
        <v>45655</v>
      </c>
      <c r="U113" s="25" t="s">
        <v>339</v>
      </c>
      <c r="V113" s="9" t="s">
        <v>285</v>
      </c>
      <c r="W113" s="9" t="s">
        <v>183</v>
      </c>
    </row>
  </sheetData>
  <phoneticPr fontId="4"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CFAEE-10F5-410B-857B-601C41BCCE46}">
  <dimension ref="A1:AP82"/>
  <sheetViews>
    <sheetView topLeftCell="P1" zoomScale="70" zoomScaleNormal="70" workbookViewId="0">
      <selection activeCell="AD35" sqref="AD35"/>
    </sheetView>
  </sheetViews>
  <sheetFormatPr defaultRowHeight="15.35" x14ac:dyDescent="0.3"/>
  <cols>
    <col min="1" max="1" width="14.21875" bestFit="1" customWidth="1"/>
    <col min="3" max="3" width="12.44140625" bestFit="1" customWidth="1"/>
    <col min="4" max="4" width="8.88671875" style="19"/>
    <col min="5" max="5" width="15.5546875" bestFit="1" customWidth="1"/>
    <col min="8" max="8" width="8.88671875" style="19"/>
    <col min="9" max="9" width="17.44140625" bestFit="1" customWidth="1"/>
    <col min="11" max="11" width="10" bestFit="1" customWidth="1"/>
    <col min="13" max="13" width="8.88671875" style="19"/>
    <col min="14" max="14" width="12.77734375" bestFit="1" customWidth="1"/>
    <col min="15" max="15" width="14.21875" bestFit="1" customWidth="1"/>
    <col min="18" max="18" width="8.88671875" style="19"/>
    <col min="19" max="19" width="12.77734375" bestFit="1" customWidth="1"/>
    <col min="20" max="20" width="14.21875" bestFit="1" customWidth="1"/>
    <col min="23" max="23" width="8.88671875" style="19"/>
    <col min="24" max="24" width="12.77734375" bestFit="1" customWidth="1"/>
    <col min="25" max="25" width="16.77734375" bestFit="1" customWidth="1"/>
    <col min="27" max="27" width="8.88671875" style="19"/>
    <col min="28" max="28" width="12.77734375" bestFit="1" customWidth="1"/>
    <col min="29" max="29" width="12" bestFit="1" customWidth="1"/>
    <col min="33" max="33" width="8.88671875" style="19"/>
    <col min="34" max="34" width="12.77734375" bestFit="1" customWidth="1"/>
    <col min="35" max="35" width="14.21875" bestFit="1" customWidth="1"/>
    <col min="38" max="38" width="8.88671875" style="19"/>
    <col min="39" max="39" width="15" bestFit="1" customWidth="1"/>
    <col min="40" max="40" width="22.109375" bestFit="1" customWidth="1"/>
  </cols>
  <sheetData>
    <row r="1" spans="1:41" ht="20.7" x14ac:dyDescent="0.3">
      <c r="A1" s="32" t="s">
        <v>322</v>
      </c>
      <c r="B1" s="32"/>
      <c r="C1" s="32"/>
      <c r="E1" s="32" t="s">
        <v>324</v>
      </c>
      <c r="F1" s="32"/>
      <c r="G1" s="32"/>
      <c r="I1" s="32" t="s">
        <v>326</v>
      </c>
      <c r="J1" s="32"/>
      <c r="K1" s="32"/>
      <c r="L1" s="22"/>
      <c r="N1" s="32" t="s">
        <v>328</v>
      </c>
      <c r="O1" s="32"/>
      <c r="P1" s="32"/>
      <c r="S1" s="32" t="s">
        <v>333</v>
      </c>
      <c r="T1" s="32"/>
      <c r="U1" s="32"/>
      <c r="X1" s="32" t="s">
        <v>334</v>
      </c>
      <c r="Y1" s="32"/>
      <c r="Z1" s="32"/>
      <c r="AB1" s="32" t="s">
        <v>345</v>
      </c>
      <c r="AC1" s="32"/>
      <c r="AD1" s="32"/>
      <c r="AH1" s="32" t="s">
        <v>355</v>
      </c>
      <c r="AI1" s="32"/>
      <c r="AJ1" s="32"/>
      <c r="AM1" s="32" t="s">
        <v>390</v>
      </c>
      <c r="AN1" s="32"/>
      <c r="AO1" s="32"/>
    </row>
    <row r="2" spans="1:41" ht="20.7" x14ac:dyDescent="0.3">
      <c r="A2" s="32"/>
      <c r="B2" s="32"/>
      <c r="C2" s="32"/>
      <c r="E2" s="32"/>
      <c r="F2" s="32"/>
      <c r="G2" s="32"/>
      <c r="I2" s="32"/>
      <c r="J2" s="32"/>
      <c r="K2" s="32"/>
      <c r="L2" s="22"/>
      <c r="N2" s="32"/>
      <c r="O2" s="32"/>
      <c r="P2" s="32"/>
      <c r="S2" s="32"/>
      <c r="T2" s="32"/>
      <c r="U2" s="32"/>
      <c r="X2" s="32"/>
      <c r="Y2" s="32"/>
      <c r="Z2" s="32"/>
      <c r="AB2" s="32"/>
      <c r="AC2" s="32"/>
      <c r="AD2" s="32"/>
      <c r="AH2" s="32"/>
      <c r="AI2" s="32"/>
      <c r="AJ2" s="32"/>
      <c r="AM2" s="32"/>
      <c r="AN2" s="32"/>
      <c r="AO2" s="32"/>
    </row>
    <row r="5" spans="1:41" x14ac:dyDescent="0.3">
      <c r="A5" t="s">
        <v>323</v>
      </c>
      <c r="E5" t="s">
        <v>325</v>
      </c>
      <c r="I5" t="s">
        <v>327</v>
      </c>
      <c r="L5" s="3"/>
      <c r="N5" s="20" t="s">
        <v>329</v>
      </c>
      <c r="O5" t="s">
        <v>323</v>
      </c>
      <c r="S5" s="20" t="s">
        <v>329</v>
      </c>
      <c r="T5" t="s">
        <v>323</v>
      </c>
      <c r="X5" s="20" t="s">
        <v>329</v>
      </c>
      <c r="Y5" t="s">
        <v>337</v>
      </c>
      <c r="AB5" s="20" t="s">
        <v>329</v>
      </c>
      <c r="AC5" t="s">
        <v>343</v>
      </c>
      <c r="AH5" s="20" t="s">
        <v>329</v>
      </c>
      <c r="AI5" t="s">
        <v>323</v>
      </c>
      <c r="AM5" s="20" t="s">
        <v>329</v>
      </c>
      <c r="AN5" t="s">
        <v>389</v>
      </c>
    </row>
    <row r="6" spans="1:41" x14ac:dyDescent="0.3">
      <c r="A6" s="18">
        <v>1155307.31544</v>
      </c>
      <c r="C6" s="30">
        <f>A6</f>
        <v>1155307.31544</v>
      </c>
      <c r="E6" s="18">
        <v>112</v>
      </c>
      <c r="G6" s="18">
        <f>E6</f>
        <v>112</v>
      </c>
      <c r="I6" s="18">
        <v>10408.174012972973</v>
      </c>
      <c r="K6" s="30">
        <f>I6</f>
        <v>10408.174012972973</v>
      </c>
      <c r="L6" s="21"/>
      <c r="N6" s="23" t="s">
        <v>332</v>
      </c>
      <c r="O6" s="24">
        <v>7396</v>
      </c>
      <c r="S6" s="23" t="s">
        <v>195</v>
      </c>
      <c r="T6" s="24"/>
      <c r="X6" s="23" t="s">
        <v>158</v>
      </c>
      <c r="Y6" s="24">
        <v>41</v>
      </c>
      <c r="AB6" s="23" t="s">
        <v>339</v>
      </c>
      <c r="AC6" s="27">
        <v>0.32142857142857145</v>
      </c>
      <c r="AH6" s="23" t="s">
        <v>354</v>
      </c>
      <c r="AI6" s="24">
        <v>12999</v>
      </c>
      <c r="AK6" s="24"/>
      <c r="AM6" s="23" t="s">
        <v>52</v>
      </c>
      <c r="AN6" s="17">
        <v>1</v>
      </c>
    </row>
    <row r="7" spans="1:41" x14ac:dyDescent="0.3">
      <c r="L7" s="21"/>
      <c r="N7" s="23" t="s">
        <v>228</v>
      </c>
      <c r="O7" s="24">
        <v>9655</v>
      </c>
      <c r="S7" s="23" t="s">
        <v>153</v>
      </c>
      <c r="T7" s="24">
        <v>9300</v>
      </c>
      <c r="X7" s="23" t="s">
        <v>330</v>
      </c>
      <c r="Y7" s="24">
        <v>41</v>
      </c>
      <c r="AB7" s="23" t="s">
        <v>340</v>
      </c>
      <c r="AC7" s="27">
        <v>0.36607142857142855</v>
      </c>
      <c r="AE7" s="23"/>
      <c r="AH7" s="23" t="s">
        <v>347</v>
      </c>
      <c r="AI7" s="24">
        <v>24288</v>
      </c>
      <c r="AM7" s="23" t="s">
        <v>203</v>
      </c>
      <c r="AN7" s="17">
        <v>1</v>
      </c>
    </row>
    <row r="8" spans="1:41" x14ac:dyDescent="0.3">
      <c r="L8" s="21"/>
      <c r="N8" s="23" t="s">
        <v>222</v>
      </c>
      <c r="O8" s="24">
        <v>9800</v>
      </c>
      <c r="S8" s="23" t="s">
        <v>150</v>
      </c>
      <c r="T8" s="24">
        <v>22000</v>
      </c>
      <c r="AB8" s="23" t="s">
        <v>338</v>
      </c>
      <c r="AC8" s="27">
        <v>0.2767857142857143</v>
      </c>
      <c r="AE8" s="27"/>
      <c r="AH8" s="23" t="s">
        <v>351</v>
      </c>
      <c r="AI8" s="24">
        <v>41640</v>
      </c>
      <c r="AM8" s="23" t="s">
        <v>175</v>
      </c>
      <c r="AN8" s="17">
        <v>1</v>
      </c>
    </row>
    <row r="9" spans="1:41" x14ac:dyDescent="0.3">
      <c r="L9" s="21"/>
      <c r="N9" s="23" t="s">
        <v>192</v>
      </c>
      <c r="O9" s="24">
        <v>23144.905440000002</v>
      </c>
      <c r="S9" s="23" t="s">
        <v>235</v>
      </c>
      <c r="T9" s="24">
        <v>42820</v>
      </c>
      <c r="AB9" s="23" t="s">
        <v>341</v>
      </c>
      <c r="AC9" s="27">
        <v>3.5714285714285712E-2</v>
      </c>
      <c r="AH9" s="23" t="s">
        <v>350</v>
      </c>
      <c r="AI9" s="24">
        <v>54762</v>
      </c>
      <c r="AM9" s="23" t="s">
        <v>173</v>
      </c>
      <c r="AN9" s="17">
        <v>1</v>
      </c>
    </row>
    <row r="10" spans="1:41" x14ac:dyDescent="0.3">
      <c r="L10" s="21"/>
      <c r="N10" s="23" t="s">
        <v>246</v>
      </c>
      <c r="O10" s="24">
        <v>27150</v>
      </c>
      <c r="S10" s="23" t="s">
        <v>254</v>
      </c>
      <c r="T10" s="24">
        <v>150806</v>
      </c>
      <c r="Y10" t="str">
        <f>X6</f>
        <v>اسود</v>
      </c>
      <c r="AB10" s="23" t="s">
        <v>330</v>
      </c>
      <c r="AC10" s="27">
        <v>1</v>
      </c>
      <c r="AH10" s="23" t="s">
        <v>353</v>
      </c>
      <c r="AI10" s="24">
        <v>55061</v>
      </c>
      <c r="AM10" s="23" t="s">
        <v>208</v>
      </c>
      <c r="AN10" s="17">
        <v>1</v>
      </c>
    </row>
    <row r="11" spans="1:41" x14ac:dyDescent="0.3">
      <c r="L11" s="21"/>
      <c r="N11" s="23" t="s">
        <v>331</v>
      </c>
      <c r="O11" s="24">
        <v>54511.91</v>
      </c>
      <c r="S11" s="23" t="s">
        <v>156</v>
      </c>
      <c r="T11" s="24">
        <v>251234</v>
      </c>
      <c r="AH11" s="23" t="s">
        <v>192</v>
      </c>
      <c r="AI11" s="24">
        <v>62520.905440000002</v>
      </c>
      <c r="AM11" s="23" t="s">
        <v>206</v>
      </c>
      <c r="AN11" s="17">
        <v>1</v>
      </c>
    </row>
    <row r="12" spans="1:41" x14ac:dyDescent="0.3">
      <c r="L12" s="21"/>
      <c r="N12" s="23" t="s">
        <v>38</v>
      </c>
      <c r="O12" s="24">
        <v>70650</v>
      </c>
      <c r="S12" s="23" t="s">
        <v>143</v>
      </c>
      <c r="T12" s="24">
        <v>679147.31544000003</v>
      </c>
      <c r="AH12" s="23" t="s">
        <v>335</v>
      </c>
      <c r="AI12" s="24">
        <v>134134</v>
      </c>
      <c r="AM12" s="23" t="s">
        <v>33</v>
      </c>
      <c r="AN12" s="17">
        <v>1</v>
      </c>
    </row>
    <row r="13" spans="1:41" x14ac:dyDescent="0.3">
      <c r="L13" s="21"/>
      <c r="N13" s="23" t="s">
        <v>47</v>
      </c>
      <c r="O13" s="24">
        <v>181562.5</v>
      </c>
      <c r="S13" s="23" t="s">
        <v>330</v>
      </c>
      <c r="T13" s="24">
        <v>1155307.31544</v>
      </c>
      <c r="AH13" s="23" t="s">
        <v>349</v>
      </c>
      <c r="AI13" s="24">
        <v>232981.5</v>
      </c>
      <c r="AM13" s="23" t="s">
        <v>356</v>
      </c>
      <c r="AN13" s="17">
        <v>1</v>
      </c>
    </row>
    <row r="14" spans="1:41" x14ac:dyDescent="0.3">
      <c r="L14" s="21"/>
      <c r="N14" s="23" t="s">
        <v>8</v>
      </c>
      <c r="O14" s="24">
        <v>771437</v>
      </c>
      <c r="AH14" s="23" t="s">
        <v>352</v>
      </c>
      <c r="AI14" s="24">
        <v>536920.90999999992</v>
      </c>
      <c r="AM14" s="23" t="s">
        <v>357</v>
      </c>
      <c r="AN14" s="17">
        <v>1</v>
      </c>
    </row>
    <row r="15" spans="1:41" x14ac:dyDescent="0.3">
      <c r="L15" s="21"/>
      <c r="N15" s="23" t="s">
        <v>330</v>
      </c>
      <c r="O15" s="24">
        <v>1155307.3154399998</v>
      </c>
      <c r="AH15" s="23" t="s">
        <v>330</v>
      </c>
      <c r="AI15" s="24">
        <v>1155307.31544</v>
      </c>
      <c r="AM15" s="23" t="s">
        <v>358</v>
      </c>
      <c r="AN15" s="17">
        <v>1</v>
      </c>
    </row>
    <row r="16" spans="1:41" x14ac:dyDescent="0.3">
      <c r="L16" s="21"/>
      <c r="AM16" s="23" t="s">
        <v>260</v>
      </c>
      <c r="AN16" s="17">
        <v>1</v>
      </c>
    </row>
    <row r="17" spans="12:40" x14ac:dyDescent="0.3">
      <c r="L17" s="21"/>
      <c r="AB17" s="32" t="s">
        <v>346</v>
      </c>
      <c r="AC17" s="32"/>
      <c r="AD17" s="32"/>
      <c r="AM17" s="23" t="s">
        <v>359</v>
      </c>
      <c r="AN17" s="17">
        <v>1</v>
      </c>
    </row>
    <row r="18" spans="12:40" x14ac:dyDescent="0.3">
      <c r="L18" s="21"/>
      <c r="AB18" s="32"/>
      <c r="AC18" s="32"/>
      <c r="AD18" s="32"/>
      <c r="AM18" s="23" t="s">
        <v>182</v>
      </c>
      <c r="AN18" s="17">
        <v>1</v>
      </c>
    </row>
    <row r="19" spans="12:40" x14ac:dyDescent="0.3">
      <c r="L19" s="21"/>
      <c r="AM19" s="23" t="s">
        <v>360</v>
      </c>
      <c r="AN19" s="17">
        <v>1</v>
      </c>
    </row>
    <row r="20" spans="12:40" x14ac:dyDescent="0.3">
      <c r="L20" s="21"/>
      <c r="AM20" s="23" t="s">
        <v>361</v>
      </c>
      <c r="AN20" s="17">
        <v>1</v>
      </c>
    </row>
    <row r="21" spans="12:40" x14ac:dyDescent="0.3">
      <c r="L21" s="21"/>
      <c r="AM21" s="23" t="s">
        <v>190</v>
      </c>
      <c r="AN21" s="17">
        <v>1</v>
      </c>
    </row>
    <row r="22" spans="12:40" x14ac:dyDescent="0.3">
      <c r="L22" s="21"/>
      <c r="AB22" s="20" t="s">
        <v>329</v>
      </c>
      <c r="AC22" t="s">
        <v>344</v>
      </c>
      <c r="AE22" s="23"/>
      <c r="AF22" s="27"/>
      <c r="AM22" s="23" t="s">
        <v>77</v>
      </c>
      <c r="AN22" s="17">
        <v>1</v>
      </c>
    </row>
    <row r="23" spans="12:40" x14ac:dyDescent="0.3">
      <c r="AB23" s="23" t="s">
        <v>335</v>
      </c>
      <c r="AC23" s="27">
        <v>0</v>
      </c>
      <c r="AE23" s="23"/>
      <c r="AF23" s="27"/>
      <c r="AM23" s="23" t="s">
        <v>362</v>
      </c>
      <c r="AN23" s="17">
        <v>1</v>
      </c>
    </row>
    <row r="24" spans="12:40" x14ac:dyDescent="0.3">
      <c r="X24" s="20" t="s">
        <v>329</v>
      </c>
      <c r="Y24" t="s">
        <v>336</v>
      </c>
      <c r="AB24" s="23" t="s">
        <v>288</v>
      </c>
      <c r="AC24" s="27">
        <v>9.2592592592592587E-3</v>
      </c>
      <c r="AM24" s="23" t="s">
        <v>363</v>
      </c>
      <c r="AN24" s="17">
        <v>1</v>
      </c>
    </row>
    <row r="25" spans="12:40" x14ac:dyDescent="0.3">
      <c r="X25" s="23" t="s">
        <v>158</v>
      </c>
      <c r="Y25" s="24">
        <v>5</v>
      </c>
      <c r="AB25" s="23" t="s">
        <v>239</v>
      </c>
      <c r="AC25" s="27">
        <v>9.2592592592592587E-3</v>
      </c>
      <c r="AM25" s="23" t="s">
        <v>364</v>
      </c>
      <c r="AN25" s="17">
        <v>1</v>
      </c>
    </row>
    <row r="26" spans="12:40" x14ac:dyDescent="0.3">
      <c r="X26" s="23" t="s">
        <v>162</v>
      </c>
      <c r="Y26" s="24">
        <v>5</v>
      </c>
      <c r="AB26" s="23" t="s">
        <v>189</v>
      </c>
      <c r="AC26" s="27">
        <v>9.2592592592592587E-3</v>
      </c>
      <c r="AM26" s="23" t="s">
        <v>221</v>
      </c>
      <c r="AN26" s="17">
        <v>1</v>
      </c>
    </row>
    <row r="27" spans="12:40" x14ac:dyDescent="0.3">
      <c r="X27" s="23" t="s">
        <v>330</v>
      </c>
      <c r="Y27" s="24">
        <v>10</v>
      </c>
      <c r="AB27" s="23" t="s">
        <v>181</v>
      </c>
      <c r="AC27" s="27">
        <v>2.7777777777777776E-2</v>
      </c>
      <c r="AM27" s="23" t="s">
        <v>38</v>
      </c>
      <c r="AN27" s="17">
        <v>1</v>
      </c>
    </row>
    <row r="28" spans="12:40" x14ac:dyDescent="0.3">
      <c r="AB28" s="23" t="s">
        <v>207</v>
      </c>
      <c r="AC28" s="27">
        <v>0.12962962962962962</v>
      </c>
      <c r="AM28" s="23" t="s">
        <v>266</v>
      </c>
      <c r="AN28" s="17">
        <v>1</v>
      </c>
    </row>
    <row r="29" spans="12:40" x14ac:dyDescent="0.3">
      <c r="AB29" s="23" t="s">
        <v>183</v>
      </c>
      <c r="AC29" s="27">
        <v>0.81481481481481477</v>
      </c>
      <c r="AM29" s="23" t="s">
        <v>365</v>
      </c>
      <c r="AN29" s="17">
        <v>1</v>
      </c>
    </row>
    <row r="30" spans="12:40" x14ac:dyDescent="0.3">
      <c r="AB30" s="23" t="s">
        <v>330</v>
      </c>
      <c r="AC30" s="27">
        <v>1</v>
      </c>
      <c r="AM30" s="23" t="s">
        <v>110</v>
      </c>
      <c r="AN30" s="17">
        <v>1</v>
      </c>
    </row>
    <row r="31" spans="12:40" x14ac:dyDescent="0.3">
      <c r="AM31" s="23" t="s">
        <v>63</v>
      </c>
      <c r="AN31" s="17">
        <v>1</v>
      </c>
    </row>
    <row r="32" spans="12:40" x14ac:dyDescent="0.3">
      <c r="AM32" s="23" t="s">
        <v>366</v>
      </c>
      <c r="AN32" s="17">
        <v>1</v>
      </c>
    </row>
    <row r="33" spans="39:40" x14ac:dyDescent="0.3">
      <c r="AM33" s="23" t="s">
        <v>231</v>
      </c>
      <c r="AN33" s="17">
        <v>1</v>
      </c>
    </row>
    <row r="34" spans="39:40" x14ac:dyDescent="0.3">
      <c r="AM34" s="23" t="s">
        <v>277</v>
      </c>
      <c r="AN34" s="17">
        <v>1</v>
      </c>
    </row>
    <row r="35" spans="39:40" x14ac:dyDescent="0.3">
      <c r="AM35" s="23" t="s">
        <v>367</v>
      </c>
      <c r="AN35" s="17">
        <v>1</v>
      </c>
    </row>
    <row r="36" spans="39:40" x14ac:dyDescent="0.3">
      <c r="AM36" s="23" t="s">
        <v>368</v>
      </c>
      <c r="AN36" s="17">
        <v>1</v>
      </c>
    </row>
    <row r="37" spans="39:40" x14ac:dyDescent="0.3">
      <c r="AM37" s="23" t="s">
        <v>369</v>
      </c>
      <c r="AN37" s="17">
        <v>1</v>
      </c>
    </row>
    <row r="38" spans="39:40" x14ac:dyDescent="0.3">
      <c r="AM38" s="23" t="s">
        <v>127</v>
      </c>
      <c r="AN38" s="17">
        <v>1</v>
      </c>
    </row>
    <row r="39" spans="39:40" x14ac:dyDescent="0.3">
      <c r="AM39" s="23" t="s">
        <v>370</v>
      </c>
      <c r="AN39" s="17">
        <v>1</v>
      </c>
    </row>
    <row r="40" spans="39:40" x14ac:dyDescent="0.3">
      <c r="AM40" s="23" t="s">
        <v>252</v>
      </c>
      <c r="AN40" s="17">
        <v>1</v>
      </c>
    </row>
    <row r="41" spans="39:40" x14ac:dyDescent="0.3">
      <c r="AM41" s="23" t="s">
        <v>371</v>
      </c>
      <c r="AN41" s="17">
        <v>1</v>
      </c>
    </row>
    <row r="42" spans="39:40" x14ac:dyDescent="0.3">
      <c r="AM42" s="23" t="s">
        <v>372</v>
      </c>
      <c r="AN42" s="17">
        <v>1</v>
      </c>
    </row>
    <row r="43" spans="39:40" x14ac:dyDescent="0.3">
      <c r="AM43" s="23" t="s">
        <v>125</v>
      </c>
      <c r="AN43" s="17">
        <v>1</v>
      </c>
    </row>
    <row r="44" spans="39:40" x14ac:dyDescent="0.3">
      <c r="AM44" s="23" t="s">
        <v>373</v>
      </c>
      <c r="AN44" s="17">
        <v>1</v>
      </c>
    </row>
    <row r="45" spans="39:40" x14ac:dyDescent="0.3">
      <c r="AM45" s="23" t="s">
        <v>23</v>
      </c>
      <c r="AN45" s="17">
        <v>1</v>
      </c>
    </row>
    <row r="46" spans="39:40" x14ac:dyDescent="0.3">
      <c r="AM46" s="23" t="s">
        <v>20</v>
      </c>
      <c r="AN46" s="17">
        <v>1</v>
      </c>
    </row>
    <row r="47" spans="39:40" x14ac:dyDescent="0.3">
      <c r="AM47" s="23" t="s">
        <v>47</v>
      </c>
      <c r="AN47" s="17">
        <v>1</v>
      </c>
    </row>
    <row r="48" spans="39:40" x14ac:dyDescent="0.3">
      <c r="AM48" s="23" t="s">
        <v>100</v>
      </c>
      <c r="AN48" s="17">
        <v>1</v>
      </c>
    </row>
    <row r="49" spans="39:40" x14ac:dyDescent="0.3">
      <c r="AM49" s="23" t="s">
        <v>137</v>
      </c>
      <c r="AN49" s="17">
        <v>1</v>
      </c>
    </row>
    <row r="50" spans="39:40" x14ac:dyDescent="0.3">
      <c r="AM50" s="23" t="s">
        <v>232</v>
      </c>
      <c r="AN50" s="17">
        <v>1</v>
      </c>
    </row>
    <row r="51" spans="39:40" x14ac:dyDescent="0.3">
      <c r="AM51" s="23" t="s">
        <v>374</v>
      </c>
      <c r="AN51" s="17">
        <v>1</v>
      </c>
    </row>
    <row r="52" spans="39:40" x14ac:dyDescent="0.3">
      <c r="AM52" s="23" t="s">
        <v>187</v>
      </c>
      <c r="AN52" s="17">
        <v>1</v>
      </c>
    </row>
    <row r="53" spans="39:40" x14ac:dyDescent="0.3">
      <c r="AM53" s="23" t="s">
        <v>375</v>
      </c>
      <c r="AN53" s="17">
        <v>1</v>
      </c>
    </row>
    <row r="54" spans="39:40" x14ac:dyDescent="0.3">
      <c r="AM54" s="23" t="s">
        <v>73</v>
      </c>
      <c r="AN54" s="17">
        <v>1</v>
      </c>
    </row>
    <row r="55" spans="39:40" x14ac:dyDescent="0.3">
      <c r="AM55" s="23" t="s">
        <v>376</v>
      </c>
      <c r="AN55" s="17">
        <v>1</v>
      </c>
    </row>
    <row r="56" spans="39:40" x14ac:dyDescent="0.3">
      <c r="AM56" s="23" t="s">
        <v>377</v>
      </c>
      <c r="AN56" s="17">
        <v>1</v>
      </c>
    </row>
    <row r="57" spans="39:40" x14ac:dyDescent="0.3">
      <c r="AM57" s="23" t="s">
        <v>197</v>
      </c>
      <c r="AN57" s="17">
        <v>1</v>
      </c>
    </row>
    <row r="58" spans="39:40" x14ac:dyDescent="0.3">
      <c r="AM58" s="23" t="s">
        <v>218</v>
      </c>
      <c r="AN58" s="17">
        <v>1</v>
      </c>
    </row>
    <row r="59" spans="39:40" x14ac:dyDescent="0.3">
      <c r="AM59" s="23" t="s">
        <v>378</v>
      </c>
      <c r="AN59" s="17">
        <v>1</v>
      </c>
    </row>
    <row r="60" spans="39:40" x14ac:dyDescent="0.3">
      <c r="AM60" s="23" t="s">
        <v>379</v>
      </c>
      <c r="AN60" s="17">
        <v>1</v>
      </c>
    </row>
    <row r="61" spans="39:40" x14ac:dyDescent="0.3">
      <c r="AM61" s="23" t="s">
        <v>380</v>
      </c>
      <c r="AN61" s="17">
        <v>1</v>
      </c>
    </row>
    <row r="62" spans="39:40" x14ac:dyDescent="0.3">
      <c r="AM62" s="23" t="s">
        <v>381</v>
      </c>
      <c r="AN62" s="17">
        <v>1</v>
      </c>
    </row>
    <row r="63" spans="39:40" x14ac:dyDescent="0.3">
      <c r="AM63" s="23" t="s">
        <v>245</v>
      </c>
      <c r="AN63" s="17">
        <v>1</v>
      </c>
    </row>
    <row r="64" spans="39:40" x14ac:dyDescent="0.3">
      <c r="AM64" s="23" t="s">
        <v>382</v>
      </c>
      <c r="AN64" s="17">
        <v>1</v>
      </c>
    </row>
    <row r="65" spans="39:40" x14ac:dyDescent="0.3">
      <c r="AM65" s="23" t="s">
        <v>383</v>
      </c>
      <c r="AN65" s="17">
        <v>1</v>
      </c>
    </row>
    <row r="66" spans="39:40" x14ac:dyDescent="0.3">
      <c r="AM66" s="23" t="s">
        <v>256</v>
      </c>
      <c r="AN66" s="17">
        <v>1</v>
      </c>
    </row>
    <row r="67" spans="39:40" x14ac:dyDescent="0.3">
      <c r="AM67" s="23" t="s">
        <v>17</v>
      </c>
      <c r="AN67" s="17">
        <v>1</v>
      </c>
    </row>
    <row r="68" spans="39:40" x14ac:dyDescent="0.3">
      <c r="AM68" s="23" t="s">
        <v>273</v>
      </c>
      <c r="AN68" s="17">
        <v>1</v>
      </c>
    </row>
    <row r="69" spans="39:40" x14ac:dyDescent="0.3">
      <c r="AM69" s="23" t="s">
        <v>384</v>
      </c>
      <c r="AN69" s="17">
        <v>1</v>
      </c>
    </row>
    <row r="70" spans="39:40" x14ac:dyDescent="0.3">
      <c r="AM70" s="23" t="s">
        <v>228</v>
      </c>
      <c r="AN70" s="17">
        <v>1</v>
      </c>
    </row>
    <row r="71" spans="39:40" x14ac:dyDescent="0.3">
      <c r="AM71" s="23" t="s">
        <v>385</v>
      </c>
      <c r="AN71" s="17">
        <v>1</v>
      </c>
    </row>
    <row r="72" spans="39:40" x14ac:dyDescent="0.3">
      <c r="AM72" s="23" t="s">
        <v>113</v>
      </c>
      <c r="AN72" s="17">
        <v>1</v>
      </c>
    </row>
    <row r="73" spans="39:40" x14ac:dyDescent="0.3">
      <c r="AM73" s="23" t="s">
        <v>264</v>
      </c>
      <c r="AN73" s="17">
        <v>1</v>
      </c>
    </row>
    <row r="74" spans="39:40" x14ac:dyDescent="0.3">
      <c r="AM74" s="23" t="s">
        <v>386</v>
      </c>
      <c r="AN74" s="17">
        <v>1</v>
      </c>
    </row>
    <row r="75" spans="39:40" x14ac:dyDescent="0.3">
      <c r="AM75" s="23" t="s">
        <v>387</v>
      </c>
      <c r="AN75" s="17">
        <v>1</v>
      </c>
    </row>
    <row r="76" spans="39:40" x14ac:dyDescent="0.3">
      <c r="AM76" s="23" t="s">
        <v>388</v>
      </c>
      <c r="AN76" s="17">
        <v>1</v>
      </c>
    </row>
    <row r="77" spans="39:40" x14ac:dyDescent="0.3">
      <c r="AM77" s="23" t="s">
        <v>210</v>
      </c>
      <c r="AN77" s="17">
        <v>1</v>
      </c>
    </row>
    <row r="78" spans="39:40" x14ac:dyDescent="0.3">
      <c r="AM78" s="23" t="s">
        <v>269</v>
      </c>
      <c r="AN78" s="17">
        <v>1</v>
      </c>
    </row>
    <row r="79" spans="39:40" x14ac:dyDescent="0.3">
      <c r="AM79" s="23" t="s">
        <v>93</v>
      </c>
      <c r="AN79" s="17">
        <v>1</v>
      </c>
    </row>
    <row r="80" spans="39:40" x14ac:dyDescent="0.3">
      <c r="AM80" s="23" t="s">
        <v>186</v>
      </c>
      <c r="AN80" s="17">
        <v>1</v>
      </c>
    </row>
    <row r="81" spans="39:42" x14ac:dyDescent="0.3">
      <c r="AM81" s="23" t="s">
        <v>140</v>
      </c>
      <c r="AN81" s="17">
        <v>1</v>
      </c>
    </row>
    <row r="82" spans="39:42" x14ac:dyDescent="0.3">
      <c r="AM82" s="23" t="s">
        <v>330</v>
      </c>
      <c r="AN82" s="17">
        <v>76</v>
      </c>
      <c r="AP82">
        <f>AN82</f>
        <v>76</v>
      </c>
    </row>
  </sheetData>
  <mergeCells count="10">
    <mergeCell ref="AB1:AD2"/>
    <mergeCell ref="AB17:AD18"/>
    <mergeCell ref="AH1:AJ2"/>
    <mergeCell ref="AM1:AO2"/>
    <mergeCell ref="A1:C2"/>
    <mergeCell ref="E1:G2"/>
    <mergeCell ref="I1:K2"/>
    <mergeCell ref="N1:P2"/>
    <mergeCell ref="S1:U2"/>
    <mergeCell ref="X1:Z2"/>
  </mergeCells>
  <pageMargins left="0.7" right="0.7" top="0.75" bottom="0.75" header="0.3" footer="0.3"/>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4A00-B78E-489A-8205-71294D6C28B3}">
  <dimension ref="F34"/>
  <sheetViews>
    <sheetView showGridLines="0" tabSelected="1" zoomScaleNormal="100" workbookViewId="0">
      <selection activeCell="F34" sqref="F34"/>
    </sheetView>
  </sheetViews>
  <sheetFormatPr defaultRowHeight="15.35" x14ac:dyDescent="0.3"/>
  <cols>
    <col min="1" max="16384" width="8.88671875" style="29"/>
  </cols>
  <sheetData>
    <row r="34" spans="6:6" ht="16" x14ac:dyDescent="0.3">
      <c r="F34" s="31"/>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البيانات</vt:lpstr>
      <vt:lpstr>BackEnd</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Mostafa Yehia</cp:lastModifiedBy>
  <dcterms:created xsi:type="dcterms:W3CDTF">2015-06-05T18:17:20Z</dcterms:created>
  <dcterms:modified xsi:type="dcterms:W3CDTF">2026-08-13T13:21:14Z</dcterms:modified>
</cp:coreProperties>
</file>